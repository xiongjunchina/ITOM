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20" tabRatio="500"/>
  </bookViews>
  <sheets>
    <sheet name="WBS主表" sheetId="1" r:id="rId1"/>
    <sheet name="里程碑跟踪" sheetId="2" r:id="rId2"/>
    <sheet name="字段说明与用法" sheetId="3" r:id="rId3"/>
  </sheets>
  <definedNames>
    <definedName name="_xlnm._FilterDatabase" localSheetId="0" hidden="1">WBS主表!$A$1:$P$95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<sst xmlns="http://schemas.openxmlformats.org/spreadsheetml/2006/main" count="718" uniqueCount="458">
  <si>
    <t>阶段</t>
  </si>
  <si>
    <r>
      <rPr>
        <b/>
        <sz val="9"/>
        <color rgb="FFFFFFFF"/>
        <rFont val="Arial"/>
        <charset val="1"/>
      </rPr>
      <t>WBS</t>
    </r>
    <r>
      <rPr>
        <b/>
        <sz val="9"/>
        <color rgb="FFFFFFFF"/>
        <rFont val="Noto Sans CJK SC"/>
        <charset val="134"/>
      </rPr>
      <t>编号</t>
    </r>
  </si>
  <si>
    <r>
      <rPr>
        <b/>
        <sz val="9"/>
        <color rgb="FFFFFFFF"/>
        <rFont val="Noto Sans CJK SC"/>
        <charset val="134"/>
      </rPr>
      <t>任务名称</t>
    </r>
    <r>
      <rPr>
        <b/>
        <sz val="9"/>
        <color rgb="FFFFFFFF"/>
        <rFont val="Arial"/>
        <charset val="1"/>
      </rPr>
      <t>(</t>
    </r>
    <r>
      <rPr>
        <b/>
        <sz val="9"/>
        <color rgb="FFFFFFFF"/>
        <rFont val="Noto Sans CJK SC"/>
        <charset val="134"/>
      </rPr>
      <t>交付物</t>
    </r>
    <r>
      <rPr>
        <b/>
        <sz val="9"/>
        <color rgb="FFFFFFFF"/>
        <rFont val="Arial"/>
        <charset val="1"/>
      </rPr>
      <t>)</t>
    </r>
  </si>
  <si>
    <r>
      <rPr>
        <b/>
        <sz val="9"/>
        <color rgb="FFFFFFFF"/>
        <rFont val="Arial"/>
        <charset val="1"/>
      </rPr>
      <t>WBS</t>
    </r>
    <r>
      <rPr>
        <b/>
        <sz val="9"/>
        <color rgb="FFFFFFFF"/>
        <rFont val="Noto Sans CJK SC"/>
        <charset val="134"/>
      </rPr>
      <t>词典说明</t>
    </r>
    <r>
      <rPr>
        <b/>
        <sz val="9"/>
        <color rgb="FFFFFFFF"/>
        <rFont val="Arial"/>
        <charset val="1"/>
      </rPr>
      <t>(</t>
    </r>
    <r>
      <rPr>
        <b/>
        <sz val="9"/>
        <color rgb="FFFFFFFF"/>
        <rFont val="Noto Sans CJK SC"/>
        <charset val="134"/>
      </rPr>
      <t>含</t>
    </r>
    <r>
      <rPr>
        <b/>
        <sz val="9"/>
        <color rgb="FFFFFFFF"/>
        <rFont val="Arial"/>
        <charset val="1"/>
      </rPr>
      <t>/</t>
    </r>
    <r>
      <rPr>
        <b/>
        <sz val="9"/>
        <color rgb="FFFFFFFF"/>
        <rFont val="Noto Sans CJK SC"/>
        <charset val="134"/>
      </rPr>
      <t>不含</t>
    </r>
    <r>
      <rPr>
        <b/>
        <sz val="9"/>
        <color rgb="FFFFFFFF"/>
        <rFont val="Arial"/>
        <charset val="1"/>
      </rPr>
      <t>)</t>
    </r>
  </si>
  <si>
    <r>
      <rPr>
        <b/>
        <sz val="9"/>
        <color rgb="FFFFFFFF"/>
        <rFont val="Noto Sans CJK SC"/>
        <charset val="134"/>
      </rPr>
      <t>交付物</t>
    </r>
    <r>
      <rPr>
        <b/>
        <sz val="9"/>
        <color rgb="FFFFFFFF"/>
        <rFont val="Arial"/>
        <charset val="1"/>
      </rPr>
      <t>/</t>
    </r>
    <r>
      <rPr>
        <b/>
        <sz val="9"/>
        <color rgb="FFFFFFFF"/>
        <rFont val="Noto Sans CJK SC"/>
        <charset val="134"/>
      </rPr>
      <t>验收标准</t>
    </r>
    <r>
      <rPr>
        <b/>
        <sz val="9"/>
        <color rgb="FFFFFFFF"/>
        <rFont val="Arial"/>
        <charset val="1"/>
      </rPr>
      <t>(DoD)</t>
    </r>
  </si>
  <si>
    <t>责任人</t>
  </si>
  <si>
    <t>里程碑</t>
  </si>
  <si>
    <r>
      <rPr>
        <b/>
        <sz val="9"/>
        <color rgb="FFFFFFFF"/>
        <rFont val="Noto Sans CJK SC"/>
        <charset val="134"/>
      </rPr>
      <t>前置任务</t>
    </r>
    <r>
      <rPr>
        <b/>
        <sz val="9"/>
        <color rgb="FFFFFFFF"/>
        <rFont val="Arial"/>
        <charset val="1"/>
      </rPr>
      <t>(WBS</t>
    </r>
    <r>
      <rPr>
        <b/>
        <sz val="9"/>
        <color rgb="FFFFFFFF"/>
        <rFont val="Noto Sans CJK SC"/>
        <charset val="134"/>
      </rPr>
      <t>号</t>
    </r>
    <r>
      <rPr>
        <b/>
        <sz val="9"/>
        <color rgb="FFFFFFFF"/>
        <rFont val="Arial"/>
        <charset val="1"/>
      </rPr>
      <t>)</t>
    </r>
  </si>
  <si>
    <t>计划开始</t>
  </si>
  <si>
    <t>计划结束</t>
  </si>
  <si>
    <t>实际开始</t>
  </si>
  <si>
    <t>实际结束</t>
  </si>
  <si>
    <r>
      <rPr>
        <b/>
        <sz val="9"/>
        <color rgb="FFFFFFFF"/>
        <rFont val="Noto Sans CJK SC"/>
        <charset val="134"/>
      </rPr>
      <t>进度偏差</t>
    </r>
    <r>
      <rPr>
        <b/>
        <sz val="9"/>
        <color rgb="FFFFFFFF"/>
        <rFont val="Arial"/>
        <charset val="1"/>
      </rPr>
      <t>(</t>
    </r>
    <r>
      <rPr>
        <b/>
        <sz val="9"/>
        <color rgb="FFFFFFFF"/>
        <rFont val="Noto Sans CJK SC"/>
        <charset val="134"/>
      </rPr>
      <t>天</t>
    </r>
    <r>
      <rPr>
        <b/>
        <sz val="9"/>
        <color rgb="FFFFFFFF"/>
        <rFont val="Arial"/>
        <charset val="1"/>
      </rPr>
      <t>)</t>
    </r>
  </si>
  <si>
    <r>
      <rPr>
        <b/>
        <sz val="9"/>
        <color rgb="FFFFFFFF"/>
        <rFont val="Noto Sans CJK SC"/>
        <charset val="134"/>
      </rPr>
      <t>完成度</t>
    </r>
    <r>
      <rPr>
        <b/>
        <sz val="9"/>
        <color rgb="FFFFFFFF"/>
        <rFont val="Arial"/>
        <charset val="1"/>
      </rPr>
      <t>%</t>
    </r>
  </si>
  <si>
    <t>状态</t>
  </si>
  <si>
    <t>备注</t>
  </si>
  <si>
    <r>
      <rPr>
        <b/>
        <sz val="9"/>
        <rFont val="Arial"/>
        <charset val="1"/>
      </rPr>
      <t>1.</t>
    </r>
    <r>
      <rPr>
        <b/>
        <sz val="9"/>
        <rFont val="Noto Sans CJK SC"/>
        <charset val="134"/>
      </rPr>
      <t>立项</t>
    </r>
  </si>
  <si>
    <t>1</t>
  </si>
  <si>
    <t>项目立项与准备</t>
  </si>
  <si>
    <r>
      <rPr>
        <b/>
        <sz val="9"/>
        <rFont val="Noto Sans CJK SC"/>
        <charset val="134"/>
      </rPr>
      <t>含商业论证、立项审批、</t>
    </r>
    <r>
      <rPr>
        <b/>
        <sz val="9"/>
        <rFont val="Arial"/>
        <charset val="1"/>
      </rPr>
      <t>PMO</t>
    </r>
    <r>
      <rPr>
        <b/>
        <sz val="9"/>
        <rFont val="Noto Sans CJK SC"/>
        <charset val="134"/>
      </rPr>
      <t>启动；不含供应商选型</t>
    </r>
  </si>
  <si>
    <t>项目立项书获批</t>
  </si>
  <si>
    <t>否</t>
  </si>
  <si>
    <r>
      <rPr>
        <sz val="9"/>
        <rFont val="Arial"/>
        <charset val="1"/>
      </rPr>
      <t>1.</t>
    </r>
    <r>
      <rPr>
        <sz val="9"/>
        <rFont val="Noto Sans CJK SC"/>
        <charset val="134"/>
      </rPr>
      <t>立项</t>
    </r>
  </si>
  <si>
    <t>1.1</t>
  </si>
  <si>
    <t>立项文件</t>
  </si>
  <si>
    <t>含需求背景、预算、收益测算</t>
  </si>
  <si>
    <t>立项书、预算书评审通过</t>
  </si>
  <si>
    <t>1.1.1</t>
  </si>
  <si>
    <r>
      <rPr>
        <sz val="9"/>
        <rFont val="Noto Sans CJK SC"/>
        <charset val="134"/>
      </rPr>
      <t>业务需求说明书</t>
    </r>
    <r>
      <rPr>
        <sz val="9"/>
        <rFont val="Arial"/>
        <charset val="1"/>
      </rPr>
      <t>(BRD)</t>
    </r>
  </si>
  <si>
    <t>业务方需求、痛点、目标</t>
  </si>
  <si>
    <r>
      <rPr>
        <sz val="9"/>
        <rFont val="Arial"/>
        <charset val="1"/>
      </rPr>
      <t>BRD</t>
    </r>
    <r>
      <rPr>
        <sz val="9"/>
        <rFont val="Noto Sans CJK SC"/>
        <charset val="134"/>
      </rPr>
      <t>签字确认</t>
    </r>
  </si>
  <si>
    <t>1.1.2</t>
  </si>
  <si>
    <t>项目预算与收益测算</t>
  </si>
  <si>
    <r>
      <rPr>
        <sz val="9"/>
        <rFont val="Arial"/>
        <charset val="1"/>
      </rPr>
      <t>TCO</t>
    </r>
    <r>
      <rPr>
        <sz val="9"/>
        <rFont val="Noto Sans CJK SC"/>
        <charset val="134"/>
      </rPr>
      <t>、</t>
    </r>
    <r>
      <rPr>
        <sz val="9"/>
        <rFont val="Arial"/>
        <charset val="1"/>
      </rPr>
      <t>ROI</t>
    </r>
    <r>
      <rPr>
        <sz val="9"/>
        <rFont val="Noto Sans CJK SC"/>
        <charset val="134"/>
      </rPr>
      <t>测算</t>
    </r>
  </si>
  <si>
    <t>预算获财务批准</t>
  </si>
  <si>
    <t>1.1.3</t>
  </si>
  <si>
    <t>立项评审与审批</t>
  </si>
  <si>
    <t>立项会材料与决议</t>
  </si>
  <si>
    <r>
      <rPr>
        <sz val="9"/>
        <rFont val="Noto Sans CJK SC"/>
        <charset val="134"/>
      </rPr>
      <t>立项书获批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里程碑</t>
    </r>
    <r>
      <rPr>
        <sz val="9"/>
        <rFont val="Arial"/>
        <charset val="1"/>
      </rPr>
      <t>)</t>
    </r>
  </si>
  <si>
    <t>是</t>
  </si>
  <si>
    <t>1.2</t>
  </si>
  <si>
    <t>项目治理与启动</t>
  </si>
  <si>
    <r>
      <rPr>
        <sz val="9"/>
        <rFont val="Noto Sans CJK SC"/>
        <charset val="134"/>
      </rPr>
      <t>含章程、组织、计划、</t>
    </r>
    <r>
      <rPr>
        <sz val="9"/>
        <rFont val="Arial"/>
        <charset val="1"/>
      </rPr>
      <t>PMO</t>
    </r>
    <r>
      <rPr>
        <sz val="9"/>
        <rFont val="Noto Sans CJK SC"/>
        <charset val="134"/>
      </rPr>
      <t>机制</t>
    </r>
  </si>
  <si>
    <t>项目章程发布</t>
  </si>
  <si>
    <t>1.2.1</t>
  </si>
  <si>
    <t>项目章程</t>
  </si>
  <si>
    <t>目标、范围、组织、干系人</t>
  </si>
  <si>
    <t>章程签发</t>
  </si>
  <si>
    <t>1.2.2</t>
  </si>
  <si>
    <r>
      <rPr>
        <sz val="9"/>
        <rFont val="Noto Sans CJK SC"/>
        <charset val="134"/>
      </rPr>
      <t>项目管理计划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含</t>
    </r>
    <r>
      <rPr>
        <sz val="9"/>
        <rFont val="Arial"/>
        <charset val="1"/>
      </rPr>
      <t>WBS/</t>
    </r>
    <r>
      <rPr>
        <sz val="9"/>
        <rFont val="Noto Sans CJK SC"/>
        <charset val="134"/>
      </rPr>
      <t>进度</t>
    </r>
    <r>
      <rPr>
        <sz val="9"/>
        <rFont val="Arial"/>
        <charset val="1"/>
      </rPr>
      <t>/</t>
    </r>
    <r>
      <rPr>
        <sz val="9"/>
        <rFont val="Noto Sans CJK SC"/>
        <charset val="134"/>
      </rPr>
      <t>风险</t>
    </r>
    <r>
      <rPr>
        <sz val="9"/>
        <rFont val="Arial"/>
        <charset val="1"/>
      </rPr>
      <t>)</t>
    </r>
  </si>
  <si>
    <t>进度、沟通、风险、变更管理计划</t>
  </si>
  <si>
    <t>计划评审通过</t>
  </si>
  <si>
    <t>1.2.3</t>
  </si>
  <si>
    <r>
      <rPr>
        <sz val="9"/>
        <rFont val="Noto Sans CJK SC"/>
        <charset val="134"/>
      </rPr>
      <t>项目启动会</t>
    </r>
    <r>
      <rPr>
        <sz val="9"/>
        <rFont val="Arial"/>
        <charset val="1"/>
      </rPr>
      <t>(Kick-off)</t>
    </r>
  </si>
  <si>
    <t>内外部团队、职责、里程碑宣贯</t>
  </si>
  <si>
    <t>会议纪要发布</t>
  </si>
  <si>
    <r>
      <rPr>
        <b/>
        <sz val="9"/>
        <rFont val="Arial"/>
        <charset val="1"/>
      </rPr>
      <t>2.</t>
    </r>
    <r>
      <rPr>
        <b/>
        <sz val="9"/>
        <rFont val="Noto Sans CJK SC"/>
        <charset val="134"/>
      </rPr>
      <t>选型</t>
    </r>
  </si>
  <si>
    <t>2</t>
  </si>
  <si>
    <t>供应商选型与合同</t>
  </si>
  <si>
    <r>
      <rPr>
        <b/>
        <sz val="9"/>
        <rFont val="Noto Sans CJK SC"/>
        <charset val="134"/>
      </rPr>
      <t>含</t>
    </r>
    <r>
      <rPr>
        <b/>
        <sz val="9"/>
        <rFont val="Arial"/>
        <charset val="1"/>
      </rPr>
      <t>RFP</t>
    </r>
    <r>
      <rPr>
        <b/>
        <sz val="9"/>
        <rFont val="Noto Sans CJK SC"/>
        <charset val="134"/>
      </rPr>
      <t>、评标、商务谈判、签约；不含实施交付</t>
    </r>
  </si>
  <si>
    <t>合同签署生效</t>
  </si>
  <si>
    <r>
      <rPr>
        <sz val="9"/>
        <rFont val="Arial"/>
        <charset val="1"/>
      </rPr>
      <t>2.</t>
    </r>
    <r>
      <rPr>
        <sz val="9"/>
        <rFont val="Noto Sans CJK SC"/>
        <charset val="134"/>
      </rPr>
      <t>选型</t>
    </r>
  </si>
  <si>
    <t>2.1</t>
  </si>
  <si>
    <t>需求与招标文件</t>
  </si>
  <si>
    <r>
      <rPr>
        <sz val="9"/>
        <rFont val="Noto Sans CJK SC"/>
        <charset val="134"/>
      </rPr>
      <t>含</t>
    </r>
    <r>
      <rPr>
        <sz val="9"/>
        <rFont val="Arial"/>
        <charset val="1"/>
      </rPr>
      <t>RFP</t>
    </r>
    <r>
      <rPr>
        <sz val="9"/>
        <rFont val="Noto Sans CJK SC"/>
        <charset val="134"/>
      </rPr>
      <t>、技术规格、评分标准</t>
    </r>
  </si>
  <si>
    <r>
      <rPr>
        <sz val="9"/>
        <rFont val="Arial"/>
        <charset val="1"/>
      </rPr>
      <t>RFP</t>
    </r>
    <r>
      <rPr>
        <sz val="9"/>
        <rFont val="Noto Sans CJK SC"/>
        <charset val="134"/>
      </rPr>
      <t>发布</t>
    </r>
  </si>
  <si>
    <t>2.1.1</t>
  </si>
  <si>
    <r>
      <rPr>
        <sz val="9"/>
        <rFont val="Noto Sans CJK SC"/>
        <charset val="134"/>
      </rPr>
      <t>需求规格说明书</t>
    </r>
    <r>
      <rPr>
        <sz val="9"/>
        <rFont val="Arial"/>
        <charset val="1"/>
      </rPr>
      <t>(SRS/</t>
    </r>
    <r>
      <rPr>
        <sz val="9"/>
        <rFont val="Noto Sans CJK SC"/>
        <charset val="134"/>
      </rPr>
      <t>技术规格</t>
    </r>
    <r>
      <rPr>
        <sz val="9"/>
        <rFont val="Arial"/>
        <charset val="1"/>
      </rPr>
      <t>)</t>
    </r>
  </si>
  <si>
    <t>功能、非功能、接口、性能要求</t>
  </si>
  <si>
    <r>
      <rPr>
        <sz val="9"/>
        <rFont val="Arial"/>
        <charset val="1"/>
      </rPr>
      <t>SRS</t>
    </r>
    <r>
      <rPr>
        <sz val="9"/>
        <rFont val="Noto Sans CJK SC"/>
        <charset val="134"/>
      </rPr>
      <t>评审通过</t>
    </r>
  </si>
  <si>
    <t>2.1.2</t>
  </si>
  <si>
    <r>
      <rPr>
        <sz val="9"/>
        <rFont val="Arial"/>
        <charset val="1"/>
      </rPr>
      <t>RFP</t>
    </r>
    <r>
      <rPr>
        <sz val="9"/>
        <rFont val="Noto Sans CJK SC"/>
        <charset val="134"/>
      </rPr>
      <t>招标文件与评分标准</t>
    </r>
  </si>
  <si>
    <r>
      <rPr>
        <sz val="9"/>
        <rFont val="Noto Sans CJK SC"/>
        <charset val="134"/>
      </rPr>
      <t>商务</t>
    </r>
    <r>
      <rPr>
        <sz val="9"/>
        <rFont val="Arial"/>
        <charset val="1"/>
      </rPr>
      <t>/</t>
    </r>
    <r>
      <rPr>
        <sz val="9"/>
        <rFont val="Noto Sans CJK SC"/>
        <charset val="134"/>
      </rPr>
      <t>技术</t>
    </r>
    <r>
      <rPr>
        <sz val="9"/>
        <rFont val="Arial"/>
        <charset val="1"/>
      </rPr>
      <t>/</t>
    </r>
    <r>
      <rPr>
        <sz val="9"/>
        <rFont val="Noto Sans CJK SC"/>
        <charset val="134"/>
      </rPr>
      <t>服务评分权重</t>
    </r>
  </si>
  <si>
    <r>
      <rPr>
        <sz val="9"/>
        <rFont val="Arial"/>
        <charset val="1"/>
      </rPr>
      <t>RFP</t>
    </r>
    <r>
      <rPr>
        <sz val="9"/>
        <rFont val="Noto Sans CJK SC"/>
        <charset val="134"/>
      </rPr>
      <t>定稿发布</t>
    </r>
  </si>
  <si>
    <t>2.2</t>
  </si>
  <si>
    <t>供应商评估与选定</t>
  </si>
  <si>
    <r>
      <rPr>
        <sz val="9"/>
        <rFont val="Noto Sans CJK SC"/>
        <charset val="134"/>
      </rPr>
      <t>含答标、</t>
    </r>
    <r>
      <rPr>
        <sz val="9"/>
        <rFont val="Arial"/>
        <charset val="1"/>
      </rPr>
      <t>POC</t>
    </r>
    <r>
      <rPr>
        <sz val="9"/>
        <rFont val="Noto Sans CJK SC"/>
        <charset val="134"/>
      </rPr>
      <t>、评标</t>
    </r>
  </si>
  <si>
    <t>中选供应商确定</t>
  </si>
  <si>
    <t>2.2.1</t>
  </si>
  <si>
    <t>供应商答标与产品演示</t>
  </si>
  <si>
    <t>候选厂商方案讲标</t>
  </si>
  <si>
    <t>演示评分表</t>
  </si>
  <si>
    <t>2.2.2</t>
  </si>
  <si>
    <r>
      <rPr>
        <sz val="9"/>
        <rFont val="Arial"/>
        <charset val="1"/>
      </rPr>
      <t>POC</t>
    </r>
    <r>
      <rPr>
        <sz val="9"/>
        <rFont val="Noto Sans CJK SC"/>
        <charset val="134"/>
      </rPr>
      <t>概念验证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可选</t>
    </r>
    <r>
      <rPr>
        <sz val="9"/>
        <rFont val="Arial"/>
        <charset val="1"/>
      </rPr>
      <t>)</t>
    </r>
  </si>
  <si>
    <t>关键场景实机验证</t>
  </si>
  <si>
    <r>
      <rPr>
        <sz val="9"/>
        <rFont val="Arial"/>
        <charset val="1"/>
      </rPr>
      <t>POC</t>
    </r>
    <r>
      <rPr>
        <sz val="9"/>
        <rFont val="Noto Sans CJK SC"/>
        <charset val="134"/>
      </rPr>
      <t>报告</t>
    </r>
  </si>
  <si>
    <t>2.2.3</t>
  </si>
  <si>
    <t>评标与供应商选定</t>
  </si>
  <si>
    <r>
      <rPr>
        <sz val="9"/>
        <rFont val="Noto Sans CJK SC"/>
        <charset val="134"/>
      </rPr>
      <t>技术</t>
    </r>
    <r>
      <rPr>
        <sz val="9"/>
        <rFont val="Arial"/>
        <charset val="1"/>
      </rPr>
      <t>+</t>
    </r>
    <r>
      <rPr>
        <sz val="9"/>
        <rFont val="Noto Sans CJK SC"/>
        <charset val="134"/>
      </rPr>
      <t>商务综合评分</t>
    </r>
  </si>
  <si>
    <r>
      <rPr>
        <sz val="9"/>
        <rFont val="Noto Sans CJK SC"/>
        <charset val="134"/>
      </rPr>
      <t>中选通知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里程碑</t>
    </r>
    <r>
      <rPr>
        <sz val="9"/>
        <rFont val="Arial"/>
        <charset val="1"/>
      </rPr>
      <t>)</t>
    </r>
  </si>
  <si>
    <t>2.3</t>
  </si>
  <si>
    <t>合同与商务</t>
  </si>
  <si>
    <r>
      <rPr>
        <sz val="9"/>
        <rFont val="Noto Sans CJK SC"/>
        <charset val="134"/>
      </rPr>
      <t>含谈判、</t>
    </r>
    <r>
      <rPr>
        <sz val="9"/>
        <rFont val="Arial"/>
        <charset val="1"/>
      </rPr>
      <t>SOW</t>
    </r>
    <r>
      <rPr>
        <sz val="9"/>
        <rFont val="Noto Sans CJK SC"/>
        <charset val="134"/>
      </rPr>
      <t>、</t>
    </r>
    <r>
      <rPr>
        <sz val="9"/>
        <rFont val="Arial"/>
        <charset val="1"/>
      </rPr>
      <t>SLA</t>
    </r>
    <r>
      <rPr>
        <sz val="9"/>
        <rFont val="Noto Sans CJK SC"/>
        <charset val="134"/>
      </rPr>
      <t>、付款节点</t>
    </r>
  </si>
  <si>
    <t>合同签署</t>
  </si>
  <si>
    <t>2.3.1</t>
  </si>
  <si>
    <r>
      <rPr>
        <sz val="9"/>
        <rFont val="Noto Sans CJK SC"/>
        <charset val="134"/>
      </rPr>
      <t>商务谈判与</t>
    </r>
    <r>
      <rPr>
        <sz val="9"/>
        <rFont val="Arial"/>
        <charset val="1"/>
      </rPr>
      <t>SOW</t>
    </r>
  </si>
  <si>
    <t>价格、范围、交付物清单</t>
  </si>
  <si>
    <r>
      <rPr>
        <sz val="9"/>
        <rFont val="Arial"/>
        <charset val="1"/>
      </rPr>
      <t>SOW</t>
    </r>
    <r>
      <rPr>
        <sz val="9"/>
        <rFont val="Noto Sans CJK SC"/>
        <charset val="134"/>
      </rPr>
      <t>确认</t>
    </r>
  </si>
  <si>
    <t>2.3.2</t>
  </si>
  <si>
    <r>
      <rPr>
        <sz val="9"/>
        <rFont val="Arial"/>
        <charset val="1"/>
      </rPr>
      <t>SLA</t>
    </r>
    <r>
      <rPr>
        <sz val="9"/>
        <rFont val="Noto Sans CJK SC"/>
        <charset val="134"/>
      </rPr>
      <t>与验收条款</t>
    </r>
  </si>
  <si>
    <t>服务级别、验收标准、罚则</t>
  </si>
  <si>
    <r>
      <rPr>
        <sz val="9"/>
        <rFont val="Arial"/>
        <charset val="1"/>
      </rPr>
      <t>SLA</t>
    </r>
    <r>
      <rPr>
        <sz val="9"/>
        <rFont val="Noto Sans CJK SC"/>
        <charset val="134"/>
      </rPr>
      <t>附件确认</t>
    </r>
  </si>
  <si>
    <t>2.3.3</t>
  </si>
  <si>
    <t>法务、用印</t>
  </si>
  <si>
    <r>
      <rPr>
        <sz val="9"/>
        <rFont val="Noto Sans CJK SC"/>
        <charset val="134"/>
      </rPr>
      <t>合同生效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里程碑</t>
    </r>
    <r>
      <rPr>
        <sz val="9"/>
        <rFont val="Arial"/>
        <charset val="1"/>
      </rPr>
      <t>)</t>
    </r>
  </si>
  <si>
    <r>
      <rPr>
        <b/>
        <sz val="9"/>
        <rFont val="Arial"/>
        <charset val="1"/>
      </rPr>
      <t>3.</t>
    </r>
    <r>
      <rPr>
        <b/>
        <sz val="9"/>
        <rFont val="Noto Sans CJK SC"/>
        <charset val="134"/>
      </rPr>
      <t>设计</t>
    </r>
  </si>
  <si>
    <t>3</t>
  </si>
  <si>
    <t>蓝图设计与方案确认</t>
  </si>
  <si>
    <t>含调研、蓝图、差距分析、定制需求确认</t>
  </si>
  <si>
    <t>蓝图方案签字</t>
  </si>
  <si>
    <r>
      <rPr>
        <sz val="9"/>
        <rFont val="Arial"/>
        <charset val="1"/>
      </rPr>
      <t>3.</t>
    </r>
    <r>
      <rPr>
        <sz val="9"/>
        <rFont val="Noto Sans CJK SC"/>
        <charset val="134"/>
      </rPr>
      <t>设计</t>
    </r>
  </si>
  <si>
    <t>3.1</t>
  </si>
  <si>
    <r>
      <rPr>
        <sz val="9"/>
        <rFont val="Noto Sans CJK SC"/>
        <charset val="134"/>
      </rPr>
      <t>业务调研与蓝图</t>
    </r>
    <r>
      <rPr>
        <sz val="9"/>
        <rFont val="Arial"/>
        <charset val="1"/>
      </rPr>
      <t>(Blueprint)</t>
    </r>
  </si>
  <si>
    <t>供应商主导的业务流程调研</t>
  </si>
  <si>
    <t>蓝图文档签字</t>
  </si>
  <si>
    <t>3.1.1</t>
  </si>
  <si>
    <r>
      <rPr>
        <sz val="9"/>
        <rFont val="Noto Sans CJK SC"/>
        <charset val="134"/>
      </rPr>
      <t>业务流程调研</t>
    </r>
    <r>
      <rPr>
        <sz val="9"/>
        <rFont val="Arial"/>
        <charset val="1"/>
      </rPr>
      <t>(As-Is)</t>
    </r>
  </si>
  <si>
    <t>现状流程、痛点梳理</t>
  </si>
  <si>
    <t>调研报告</t>
  </si>
  <si>
    <t>3.1.2</t>
  </si>
  <si>
    <r>
      <rPr>
        <sz val="9"/>
        <rFont val="Arial"/>
        <charset val="1"/>
      </rPr>
      <t>To-Be</t>
    </r>
    <r>
      <rPr>
        <sz val="9"/>
        <rFont val="Noto Sans CJK SC"/>
        <charset val="134"/>
      </rPr>
      <t>流程与蓝图设计</t>
    </r>
  </si>
  <si>
    <t>目标流程、系统匹配</t>
  </si>
  <si>
    <t>蓝图文档评审</t>
  </si>
  <si>
    <t>3.1.3</t>
  </si>
  <si>
    <t>蓝图确认与签字</t>
  </si>
  <si>
    <t>业务方确认</t>
  </si>
  <si>
    <r>
      <rPr>
        <sz val="9"/>
        <rFont val="Noto Sans CJK SC"/>
        <charset val="134"/>
      </rPr>
      <t>蓝图签字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里程碑</t>
    </r>
    <r>
      <rPr>
        <sz val="9"/>
        <rFont val="Arial"/>
        <charset val="1"/>
      </rPr>
      <t>)</t>
    </r>
  </si>
  <si>
    <t>3.2</t>
  </si>
  <si>
    <t>差距分析与定制需求</t>
  </si>
  <si>
    <r>
      <rPr>
        <sz val="9"/>
        <rFont val="Noto Sans CJK SC"/>
        <charset val="134"/>
      </rPr>
      <t>标准功能与需求差距</t>
    </r>
    <r>
      <rPr>
        <sz val="9"/>
        <rFont val="Arial"/>
        <charset val="1"/>
      </rPr>
      <t>(Fit-Gap)</t>
    </r>
  </si>
  <si>
    <t>定制清单确认</t>
  </si>
  <si>
    <t>3.2.1</t>
  </si>
  <si>
    <r>
      <rPr>
        <sz val="9"/>
        <rFont val="Arial"/>
        <charset val="1"/>
      </rPr>
      <t>Fit-Gap</t>
    </r>
    <r>
      <rPr>
        <sz val="9"/>
        <rFont val="Noto Sans CJK SC"/>
        <charset val="134"/>
      </rPr>
      <t>差距分析</t>
    </r>
  </si>
  <si>
    <t>标准功能覆盖度评估</t>
  </si>
  <si>
    <r>
      <rPr>
        <sz val="9"/>
        <rFont val="Arial"/>
        <charset val="1"/>
      </rPr>
      <t>Fit-Gap</t>
    </r>
    <r>
      <rPr>
        <sz val="9"/>
        <rFont val="Noto Sans CJK SC"/>
        <charset val="134"/>
      </rPr>
      <t>报告</t>
    </r>
  </si>
  <si>
    <t>3.2.2</t>
  </si>
  <si>
    <t>定制开发需求确认与报价</t>
  </si>
  <si>
    <t>定制清单、工作量、费用</t>
  </si>
  <si>
    <r>
      <rPr>
        <sz val="9"/>
        <rFont val="Noto Sans CJK SC"/>
        <charset val="134"/>
      </rPr>
      <t>变更</t>
    </r>
    <r>
      <rPr>
        <sz val="9"/>
        <rFont val="Arial"/>
        <charset val="1"/>
      </rPr>
      <t>/</t>
    </r>
    <r>
      <rPr>
        <sz val="9"/>
        <rFont val="Noto Sans CJK SC"/>
        <charset val="134"/>
      </rPr>
      <t>补充协议</t>
    </r>
  </si>
  <si>
    <t>3.3</t>
  </si>
  <si>
    <t>技术架构与集成设计</t>
  </si>
  <si>
    <t>部署架构、接口、安全、性能</t>
  </si>
  <si>
    <t>技术方案评审通过</t>
  </si>
  <si>
    <t>3.3.1</t>
  </si>
  <si>
    <t>系统部署架构设计</t>
  </si>
  <si>
    <r>
      <rPr>
        <sz val="9"/>
        <rFont val="Noto Sans CJK SC"/>
        <charset val="134"/>
      </rPr>
      <t>云</t>
    </r>
    <r>
      <rPr>
        <sz val="9"/>
        <rFont val="Arial"/>
        <charset val="1"/>
      </rPr>
      <t>/</t>
    </r>
    <r>
      <rPr>
        <sz val="9"/>
        <rFont val="Noto Sans CJK SC"/>
        <charset val="134"/>
      </rPr>
      <t>本地、环境规划、高可用</t>
    </r>
  </si>
  <si>
    <t>架构文档评审</t>
  </si>
  <si>
    <t>3.3.2</t>
  </si>
  <si>
    <r>
      <rPr>
        <sz val="9"/>
        <rFont val="Noto Sans CJK SC"/>
        <charset val="134"/>
      </rPr>
      <t>接口</t>
    </r>
    <r>
      <rPr>
        <sz val="9"/>
        <rFont val="Arial"/>
        <charset val="1"/>
      </rPr>
      <t>/</t>
    </r>
    <r>
      <rPr>
        <sz val="9"/>
        <rFont val="Noto Sans CJK SC"/>
        <charset val="134"/>
      </rPr>
      <t>集成方案设计</t>
    </r>
  </si>
  <si>
    <r>
      <rPr>
        <sz val="9"/>
        <rFont val="Noto Sans CJK SC"/>
        <charset val="134"/>
      </rPr>
      <t>与现有系统</t>
    </r>
    <r>
      <rPr>
        <sz val="9"/>
        <rFont val="Arial"/>
        <charset val="1"/>
      </rPr>
      <t>(ERP/OA/SSO</t>
    </r>
    <r>
      <rPr>
        <sz val="9"/>
        <rFont val="Noto Sans CJK SC"/>
        <charset val="134"/>
      </rPr>
      <t>等</t>
    </r>
    <r>
      <rPr>
        <sz val="9"/>
        <rFont val="Arial"/>
        <charset val="1"/>
      </rPr>
      <t>)</t>
    </r>
    <r>
      <rPr>
        <sz val="9"/>
        <rFont val="Noto Sans CJK SC"/>
        <charset val="134"/>
      </rPr>
      <t>接口</t>
    </r>
  </si>
  <si>
    <t>接口设计文档</t>
  </si>
  <si>
    <t>3.3.3</t>
  </si>
  <si>
    <t>信息安全与合规评审</t>
  </si>
  <si>
    <r>
      <rPr>
        <sz val="9"/>
        <rFont val="Noto Sans CJK SC"/>
        <charset val="134"/>
      </rPr>
      <t>权限、日志、数据合规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个保法</t>
    </r>
    <r>
      <rPr>
        <sz val="9"/>
        <rFont val="Arial"/>
        <charset val="1"/>
      </rPr>
      <t>)</t>
    </r>
  </si>
  <si>
    <t>安全评审通过</t>
  </si>
  <si>
    <r>
      <rPr>
        <b/>
        <sz val="9"/>
        <rFont val="Arial"/>
        <charset val="1"/>
      </rPr>
      <t>4.</t>
    </r>
    <r>
      <rPr>
        <b/>
        <sz val="9"/>
        <rFont val="Noto Sans CJK SC"/>
        <charset val="134"/>
      </rPr>
      <t>实现</t>
    </r>
  </si>
  <si>
    <t>4</t>
  </si>
  <si>
    <t>系统实现与配置</t>
  </si>
  <si>
    <t>含供应商配置、定制开发、环境搭建</t>
  </si>
  <si>
    <t>系统进入测试就绪</t>
  </si>
  <si>
    <r>
      <rPr>
        <sz val="9"/>
        <rFont val="Arial"/>
        <charset val="1"/>
      </rPr>
      <t>4.</t>
    </r>
    <r>
      <rPr>
        <sz val="9"/>
        <rFont val="Noto Sans CJK SC"/>
        <charset val="134"/>
      </rPr>
      <t>实现</t>
    </r>
  </si>
  <si>
    <t>4.1</t>
  </si>
  <si>
    <t>环境准备</t>
  </si>
  <si>
    <r>
      <rPr>
        <sz val="9"/>
        <rFont val="Noto Sans CJK SC"/>
        <charset val="134"/>
      </rPr>
      <t>含开发</t>
    </r>
    <r>
      <rPr>
        <sz val="9"/>
        <rFont val="Arial"/>
        <charset val="1"/>
      </rPr>
      <t>/</t>
    </r>
    <r>
      <rPr>
        <sz val="9"/>
        <rFont val="Noto Sans CJK SC"/>
        <charset val="134"/>
      </rPr>
      <t>测试</t>
    </r>
    <r>
      <rPr>
        <sz val="9"/>
        <rFont val="Arial"/>
        <charset val="1"/>
      </rPr>
      <t>/</t>
    </r>
    <r>
      <rPr>
        <sz val="9"/>
        <rFont val="Noto Sans CJK SC"/>
        <charset val="134"/>
      </rPr>
      <t>生产环境</t>
    </r>
  </si>
  <si>
    <t>环境验收通过</t>
  </si>
  <si>
    <t>4.1.1</t>
  </si>
  <si>
    <r>
      <rPr>
        <sz val="9"/>
        <rFont val="Noto Sans CJK SC"/>
        <charset val="134"/>
      </rPr>
      <t>硬件</t>
    </r>
    <r>
      <rPr>
        <sz val="9"/>
        <rFont val="Arial"/>
        <charset val="1"/>
      </rPr>
      <t>/</t>
    </r>
    <r>
      <rPr>
        <sz val="9"/>
        <rFont val="Noto Sans CJK SC"/>
        <charset val="134"/>
      </rPr>
      <t>云资源与网络就绪</t>
    </r>
  </si>
  <si>
    <t>服务器、网络、存储、账号</t>
  </si>
  <si>
    <t>资源交付清单</t>
  </si>
  <si>
    <t>4.1.2</t>
  </si>
  <si>
    <r>
      <rPr>
        <sz val="9"/>
        <rFont val="Noto Sans CJK SC"/>
        <charset val="134"/>
      </rPr>
      <t>开发</t>
    </r>
    <r>
      <rPr>
        <sz val="9"/>
        <rFont val="Arial"/>
        <charset val="1"/>
      </rPr>
      <t>/</t>
    </r>
    <r>
      <rPr>
        <sz val="9"/>
        <rFont val="Noto Sans CJK SC"/>
        <charset val="134"/>
      </rPr>
      <t>测试环境搭建</t>
    </r>
  </si>
  <si>
    <t>环境部署与连通性验证</t>
  </si>
  <si>
    <t>环境验收单</t>
  </si>
  <si>
    <t>4.1.3</t>
  </si>
  <si>
    <t>生产环境搭建</t>
  </si>
  <si>
    <t>生产部署、备份、监控</t>
  </si>
  <si>
    <t>生产环境就绪</t>
  </si>
  <si>
    <t>4.2</t>
  </si>
  <si>
    <t>系统配置与定制开发</t>
  </si>
  <si>
    <t>供应商交付主体</t>
  </si>
  <si>
    <t>模块自测通过</t>
  </si>
  <si>
    <t>4.2.1</t>
  </si>
  <si>
    <t>标准模块参数配置</t>
  </si>
  <si>
    <t>按蓝图配置系统参数</t>
  </si>
  <si>
    <r>
      <rPr>
        <sz val="9"/>
        <rFont val="Noto Sans CJK SC"/>
        <charset val="134"/>
      </rPr>
      <t>配置清单</t>
    </r>
    <r>
      <rPr>
        <sz val="9"/>
        <rFont val="Arial"/>
        <charset val="1"/>
      </rPr>
      <t>+</t>
    </r>
    <r>
      <rPr>
        <sz val="9"/>
        <rFont val="Noto Sans CJK SC"/>
        <charset val="134"/>
      </rPr>
      <t>自测报告</t>
    </r>
  </si>
  <si>
    <t>4.2.2</t>
  </si>
  <si>
    <t>定制功能开发</t>
  </si>
  <si>
    <t>按定制清单开发</t>
  </si>
  <si>
    <t>定制功能自测通过</t>
  </si>
  <si>
    <t>4.2.3</t>
  </si>
  <si>
    <r>
      <rPr>
        <sz val="9"/>
        <rFont val="Noto Sans CJK SC"/>
        <charset val="134"/>
      </rPr>
      <t>接口</t>
    </r>
    <r>
      <rPr>
        <sz val="9"/>
        <rFont val="Arial"/>
        <charset val="1"/>
      </rPr>
      <t>/</t>
    </r>
    <r>
      <rPr>
        <sz val="9"/>
        <rFont val="Noto Sans CJK SC"/>
        <charset val="134"/>
      </rPr>
      <t>集成开发联调</t>
    </r>
  </si>
  <si>
    <t>与周边系统对接联调</t>
  </si>
  <si>
    <t>接口联调通过</t>
  </si>
  <si>
    <t>4.2.4</t>
  </si>
  <si>
    <t>报表与权限配置</t>
  </si>
  <si>
    <t>报表、角色权限矩阵</t>
  </si>
  <si>
    <t>权限矩阵确认</t>
  </si>
  <si>
    <t>4.3</t>
  </si>
  <si>
    <t>数据迁移</t>
  </si>
  <si>
    <t>含清洗、映射、试迁移；易被忽略的高风险项</t>
  </si>
  <si>
    <t>数据迁移验证通过</t>
  </si>
  <si>
    <t>4.3.1</t>
  </si>
  <si>
    <t>历史数据梳理与清洗</t>
  </si>
  <si>
    <t>数据质量核查与清洗</t>
  </si>
  <si>
    <t>清洗后数据集</t>
  </si>
  <si>
    <t>4.3.2</t>
  </si>
  <si>
    <t>数据映射规则与迁移脚本</t>
  </si>
  <si>
    <t>字段映射、转换规则</t>
  </si>
  <si>
    <r>
      <rPr>
        <sz val="9"/>
        <rFont val="Noto Sans CJK SC"/>
        <charset val="134"/>
      </rPr>
      <t>映射表</t>
    </r>
    <r>
      <rPr>
        <sz val="9"/>
        <rFont val="Arial"/>
        <charset val="1"/>
      </rPr>
      <t>+</t>
    </r>
    <r>
      <rPr>
        <sz val="9"/>
        <rFont val="Noto Sans CJK SC"/>
        <charset val="134"/>
      </rPr>
      <t>脚本</t>
    </r>
  </si>
  <si>
    <t>4.3.3</t>
  </si>
  <si>
    <t>试迁移与数据校验</t>
  </si>
  <si>
    <t>模拟迁移、比对校验</t>
  </si>
  <si>
    <t>迁移验证报告</t>
  </si>
  <si>
    <r>
      <rPr>
        <b/>
        <sz val="9"/>
        <rFont val="Arial"/>
        <charset val="1"/>
      </rPr>
      <t>5.</t>
    </r>
    <r>
      <rPr>
        <b/>
        <sz val="9"/>
        <rFont val="Noto Sans CJK SC"/>
        <charset val="134"/>
      </rPr>
      <t>测试</t>
    </r>
  </si>
  <si>
    <t>5</t>
  </si>
  <si>
    <t>测试与验收</t>
  </si>
  <si>
    <r>
      <rPr>
        <b/>
        <sz val="9"/>
        <rFont val="Noto Sans CJK SC"/>
        <charset val="134"/>
      </rPr>
      <t>含</t>
    </r>
    <r>
      <rPr>
        <b/>
        <sz val="9"/>
        <rFont val="Arial"/>
        <charset val="1"/>
      </rPr>
      <t>SIT/UAT/</t>
    </r>
    <r>
      <rPr>
        <b/>
        <sz val="9"/>
        <rFont val="Noto Sans CJK SC"/>
        <charset val="134"/>
      </rPr>
      <t>性能</t>
    </r>
    <r>
      <rPr>
        <b/>
        <sz val="9"/>
        <rFont val="Arial"/>
        <charset val="1"/>
      </rPr>
      <t>/</t>
    </r>
    <r>
      <rPr>
        <b/>
        <sz val="9"/>
        <rFont val="Noto Sans CJK SC"/>
        <charset val="134"/>
      </rPr>
      <t>安全测试与正式验收</t>
    </r>
  </si>
  <si>
    <t>验收报告签字</t>
  </si>
  <si>
    <r>
      <rPr>
        <sz val="9"/>
        <rFont val="Arial"/>
        <charset val="1"/>
      </rPr>
      <t>5.</t>
    </r>
    <r>
      <rPr>
        <sz val="9"/>
        <rFont val="Noto Sans CJK SC"/>
        <charset val="134"/>
      </rPr>
      <t>测试</t>
    </r>
  </si>
  <si>
    <t>5.1</t>
  </si>
  <si>
    <t>测试准备</t>
  </si>
  <si>
    <t>用例、数据、环境</t>
  </si>
  <si>
    <t>测试方案评审通过</t>
  </si>
  <si>
    <t>5.1.1</t>
  </si>
  <si>
    <t>测试方案与用例编写</t>
  </si>
  <si>
    <r>
      <rPr>
        <sz val="9"/>
        <rFont val="Noto Sans CJK SC"/>
        <charset val="134"/>
      </rPr>
      <t>业务</t>
    </r>
    <r>
      <rPr>
        <sz val="9"/>
        <rFont val="Arial"/>
        <charset val="1"/>
      </rPr>
      <t>+</t>
    </r>
    <r>
      <rPr>
        <sz val="9"/>
        <rFont val="Noto Sans CJK SC"/>
        <charset val="134"/>
      </rPr>
      <t>技术用例</t>
    </r>
  </si>
  <si>
    <t>用例评审通过</t>
  </si>
  <si>
    <t>5.1.2</t>
  </si>
  <si>
    <t>测试数据准备</t>
  </si>
  <si>
    <t>脱敏测试数据</t>
  </si>
  <si>
    <t>测试数据就绪</t>
  </si>
  <si>
    <t>5.2</t>
  </si>
  <si>
    <r>
      <rPr>
        <sz val="9"/>
        <rFont val="Noto Sans CJK SC"/>
        <charset val="134"/>
      </rPr>
      <t>集成测试</t>
    </r>
    <r>
      <rPr>
        <sz val="9"/>
        <rFont val="Arial"/>
        <charset val="1"/>
      </rPr>
      <t>(SIT)</t>
    </r>
  </si>
  <si>
    <t>供应商主导的系统集成测试</t>
  </si>
  <si>
    <r>
      <rPr>
        <sz val="9"/>
        <rFont val="Arial"/>
        <charset val="1"/>
      </rPr>
      <t>SIT</t>
    </r>
    <r>
      <rPr>
        <sz val="9"/>
        <rFont val="Noto Sans CJK SC"/>
        <charset val="134"/>
      </rPr>
      <t>通过、缺陷收敛</t>
    </r>
  </si>
  <si>
    <t>5.2.1</t>
  </si>
  <si>
    <t>功能与集成测试执行</t>
  </si>
  <si>
    <t>按用例执行</t>
  </si>
  <si>
    <r>
      <rPr>
        <sz val="9"/>
        <rFont val="Arial"/>
        <charset val="1"/>
      </rPr>
      <t>SIT</t>
    </r>
    <r>
      <rPr>
        <sz val="9"/>
        <rFont val="Noto Sans CJK SC"/>
        <charset val="134"/>
      </rPr>
      <t>测试报告</t>
    </r>
  </si>
  <si>
    <t>5.2.2</t>
  </si>
  <si>
    <t>缺陷修复与回归</t>
  </si>
  <si>
    <t>缺陷跟踪闭环</t>
  </si>
  <si>
    <t>严重缺陷清零</t>
  </si>
  <si>
    <t>5.3</t>
  </si>
  <si>
    <r>
      <rPr>
        <sz val="9"/>
        <rFont val="Noto Sans CJK SC"/>
        <charset val="134"/>
      </rPr>
      <t>用户验收测试</t>
    </r>
    <r>
      <rPr>
        <sz val="9"/>
        <rFont val="Arial"/>
        <charset val="1"/>
      </rPr>
      <t>(UAT)</t>
    </r>
  </si>
  <si>
    <t>业务方主导，外购项目的关键关口</t>
  </si>
  <si>
    <r>
      <rPr>
        <sz val="9"/>
        <rFont val="Arial"/>
        <charset val="1"/>
      </rPr>
      <t>UAT</t>
    </r>
    <r>
      <rPr>
        <sz val="9"/>
        <rFont val="Noto Sans CJK SC"/>
        <charset val="134"/>
      </rPr>
      <t>签字通过</t>
    </r>
  </si>
  <si>
    <t>5.3.1</t>
  </si>
  <si>
    <r>
      <rPr>
        <sz val="9"/>
        <rFont val="Arial"/>
        <charset val="1"/>
      </rPr>
      <t>UAT</t>
    </r>
    <r>
      <rPr>
        <sz val="9"/>
        <rFont val="Noto Sans CJK SC"/>
        <charset val="134"/>
      </rPr>
      <t>用户培训与环境准备</t>
    </r>
  </si>
  <si>
    <t>业务用户测试培训</t>
  </si>
  <si>
    <r>
      <rPr>
        <sz val="9"/>
        <rFont val="Arial"/>
        <charset val="1"/>
      </rPr>
      <t>UAT</t>
    </r>
    <r>
      <rPr>
        <sz val="9"/>
        <rFont val="Noto Sans CJK SC"/>
        <charset val="134"/>
      </rPr>
      <t>就绪</t>
    </r>
  </si>
  <si>
    <t>5.3.2</t>
  </si>
  <si>
    <r>
      <rPr>
        <sz val="9"/>
        <rFont val="Arial"/>
        <charset val="1"/>
      </rPr>
      <t>UAT</t>
    </r>
    <r>
      <rPr>
        <sz val="9"/>
        <rFont val="Noto Sans CJK SC"/>
        <charset val="134"/>
      </rPr>
      <t>执行与问题闭环</t>
    </r>
  </si>
  <si>
    <t>业务场景验证</t>
  </si>
  <si>
    <r>
      <rPr>
        <sz val="9"/>
        <rFont val="Arial"/>
        <charset val="1"/>
      </rPr>
      <t>UAT</t>
    </r>
    <r>
      <rPr>
        <sz val="9"/>
        <rFont val="Noto Sans CJK SC"/>
        <charset val="134"/>
      </rPr>
      <t>缺陷闭环</t>
    </r>
  </si>
  <si>
    <t>5.3.3</t>
  </si>
  <si>
    <r>
      <rPr>
        <sz val="9"/>
        <rFont val="Arial"/>
        <charset val="1"/>
      </rPr>
      <t>UAT</t>
    </r>
    <r>
      <rPr>
        <sz val="9"/>
        <rFont val="Noto Sans CJK SC"/>
        <charset val="134"/>
      </rPr>
      <t>签字确认</t>
    </r>
  </si>
  <si>
    <t>业务负责人签字</t>
  </si>
  <si>
    <r>
      <rPr>
        <sz val="9"/>
        <rFont val="Arial"/>
        <charset val="1"/>
      </rPr>
      <t>UAT</t>
    </r>
    <r>
      <rPr>
        <sz val="9"/>
        <rFont val="Noto Sans CJK SC"/>
        <charset val="134"/>
      </rPr>
      <t>通过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里程碑</t>
    </r>
    <r>
      <rPr>
        <sz val="9"/>
        <rFont val="Arial"/>
        <charset val="1"/>
      </rPr>
      <t>)</t>
    </r>
  </si>
  <si>
    <t>5.4</t>
  </si>
  <si>
    <t>性能与安全测试</t>
  </si>
  <si>
    <r>
      <rPr>
        <sz val="9"/>
        <rFont val="Noto Sans CJK SC"/>
        <charset val="134"/>
      </rPr>
      <t>压力</t>
    </r>
    <r>
      <rPr>
        <sz val="9"/>
        <rFont val="Arial"/>
        <charset val="1"/>
      </rPr>
      <t>/</t>
    </r>
    <r>
      <rPr>
        <sz val="9"/>
        <rFont val="Noto Sans CJK SC"/>
        <charset val="134"/>
      </rPr>
      <t>性能</t>
    </r>
    <r>
      <rPr>
        <sz val="9"/>
        <rFont val="Arial"/>
        <charset val="1"/>
      </rPr>
      <t>/</t>
    </r>
    <r>
      <rPr>
        <sz val="9"/>
        <rFont val="Noto Sans CJK SC"/>
        <charset val="134"/>
      </rPr>
      <t>渗透测试</t>
    </r>
  </si>
  <si>
    <t>性能与安全达标</t>
  </si>
  <si>
    <t>5.4.1</t>
  </si>
  <si>
    <r>
      <rPr>
        <sz val="9"/>
        <rFont val="Noto Sans CJK SC"/>
        <charset val="134"/>
      </rPr>
      <t>性能</t>
    </r>
    <r>
      <rPr>
        <sz val="9"/>
        <rFont val="Arial"/>
        <charset val="1"/>
      </rPr>
      <t>/</t>
    </r>
    <r>
      <rPr>
        <sz val="9"/>
        <rFont val="Noto Sans CJK SC"/>
        <charset val="134"/>
      </rPr>
      <t>压力测试</t>
    </r>
  </si>
  <si>
    <t>并发、响应时间达标</t>
  </si>
  <si>
    <t>性能测试报告</t>
  </si>
  <si>
    <t>5.4.2</t>
  </si>
  <si>
    <r>
      <rPr>
        <sz val="9"/>
        <rFont val="Noto Sans CJK SC"/>
        <charset val="134"/>
      </rPr>
      <t>安全测试</t>
    </r>
    <r>
      <rPr>
        <sz val="9"/>
        <rFont val="Arial"/>
        <charset val="1"/>
      </rPr>
      <t>/</t>
    </r>
    <r>
      <rPr>
        <sz val="9"/>
        <rFont val="Noto Sans CJK SC"/>
        <charset val="134"/>
      </rPr>
      <t>渗透测试</t>
    </r>
  </si>
  <si>
    <t>漏洞扫描与整改</t>
  </si>
  <si>
    <t>安全测试报告</t>
  </si>
  <si>
    <r>
      <rPr>
        <b/>
        <sz val="9"/>
        <rFont val="Arial"/>
        <charset val="1"/>
      </rPr>
      <t>6.</t>
    </r>
    <r>
      <rPr>
        <b/>
        <sz val="9"/>
        <rFont val="Noto Sans CJK SC"/>
        <charset val="134"/>
      </rPr>
      <t>上线</t>
    </r>
  </si>
  <si>
    <t>6</t>
  </si>
  <si>
    <t>上线与切换</t>
  </si>
  <si>
    <t>含培训、切换方案、正式数据迁移、上线</t>
  </si>
  <si>
    <t>系统正式上线</t>
  </si>
  <si>
    <r>
      <rPr>
        <sz val="9"/>
        <rFont val="Arial"/>
        <charset val="1"/>
      </rPr>
      <t>6.</t>
    </r>
    <r>
      <rPr>
        <sz val="9"/>
        <rFont val="Noto Sans CJK SC"/>
        <charset val="134"/>
      </rPr>
      <t>上线</t>
    </r>
  </si>
  <si>
    <t>6.1</t>
  </si>
  <si>
    <t>用户培训</t>
  </si>
  <si>
    <r>
      <rPr>
        <sz val="9"/>
        <rFont val="Noto Sans CJK SC"/>
        <charset val="134"/>
      </rPr>
      <t>管理员</t>
    </r>
    <r>
      <rPr>
        <sz val="9"/>
        <rFont val="Arial"/>
        <charset val="1"/>
      </rPr>
      <t>+</t>
    </r>
    <r>
      <rPr>
        <sz val="9"/>
        <rFont val="Noto Sans CJK SC"/>
        <charset val="134"/>
      </rPr>
      <t>终端用户培训</t>
    </r>
  </si>
  <si>
    <t>培训完成率达标</t>
  </si>
  <si>
    <t>6.1.1</t>
  </si>
  <si>
    <t>培训材料与手册</t>
  </si>
  <si>
    <t>操作手册、管理员手册</t>
  </si>
  <si>
    <t>手册交付</t>
  </si>
  <si>
    <t>6.1.2</t>
  </si>
  <si>
    <t>终端用户与管理员培训</t>
  </si>
  <si>
    <t>分批次培训与考核</t>
  </si>
  <si>
    <t>培训签到与考核记录</t>
  </si>
  <si>
    <t>6.2</t>
  </si>
  <si>
    <t>上线切换准备</t>
  </si>
  <si>
    <t>切换方案、回退方案、检查清单</t>
  </si>
  <si>
    <t>切换方案评审通过</t>
  </si>
  <si>
    <t>6.2.1</t>
  </si>
  <si>
    <t>上线切换方案与回退预案</t>
  </si>
  <si>
    <t>切换步骤、责任人、回退条件</t>
  </si>
  <si>
    <t>方案评审通过</t>
  </si>
  <si>
    <t>6.2.2</t>
  </si>
  <si>
    <r>
      <rPr>
        <sz val="9"/>
        <rFont val="Noto Sans CJK SC"/>
        <charset val="134"/>
      </rPr>
      <t>上线检查清单</t>
    </r>
    <r>
      <rPr>
        <sz val="9"/>
        <rFont val="Arial"/>
        <charset val="1"/>
      </rPr>
      <t>(Checklist)</t>
    </r>
  </si>
  <si>
    <t>上线前逐项核查</t>
  </si>
  <si>
    <r>
      <rPr>
        <sz val="9"/>
        <rFont val="Arial"/>
        <charset val="1"/>
      </rPr>
      <t>Checklist</t>
    </r>
    <r>
      <rPr>
        <sz val="9"/>
        <rFont val="Noto Sans CJK SC"/>
        <charset val="134"/>
      </rPr>
      <t>全项通过</t>
    </r>
  </si>
  <si>
    <t>6.3</t>
  </si>
  <si>
    <t>正式上线</t>
  </si>
  <si>
    <r>
      <rPr>
        <sz val="9"/>
        <rFont val="Noto Sans CJK SC"/>
        <charset val="134"/>
      </rPr>
      <t>正式数据迁移</t>
    </r>
    <r>
      <rPr>
        <sz val="9"/>
        <rFont val="Arial"/>
        <charset val="1"/>
      </rPr>
      <t>+</t>
    </r>
    <r>
      <rPr>
        <sz val="9"/>
        <rFont val="Noto Sans CJK SC"/>
        <charset val="134"/>
      </rPr>
      <t>切换</t>
    </r>
    <r>
      <rPr>
        <sz val="9"/>
        <rFont val="Arial"/>
        <charset val="1"/>
      </rPr>
      <t>+</t>
    </r>
    <r>
      <rPr>
        <sz val="9"/>
        <rFont val="Noto Sans CJK SC"/>
        <charset val="134"/>
      </rPr>
      <t>验证</t>
    </r>
  </si>
  <si>
    <r>
      <rPr>
        <sz val="9"/>
        <rFont val="Noto Sans CJK SC"/>
        <charset val="134"/>
      </rPr>
      <t>系统正式运行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里程碑</t>
    </r>
    <r>
      <rPr>
        <sz val="9"/>
        <rFont val="Arial"/>
        <charset val="1"/>
      </rPr>
      <t>)</t>
    </r>
  </si>
  <si>
    <t>6.3.1</t>
  </si>
  <si>
    <t>正式数据迁移</t>
  </si>
  <si>
    <t>生产数据正式迁移与校验</t>
  </si>
  <si>
    <t>迁移校验通过</t>
  </si>
  <si>
    <t>6.3.2</t>
  </si>
  <si>
    <t>系统切换与上线验证</t>
  </si>
  <si>
    <t>切换执行、冒烟验证</t>
  </si>
  <si>
    <t>上线验证通过</t>
  </si>
  <si>
    <t>6.3.3</t>
  </si>
  <si>
    <r>
      <rPr>
        <sz val="9"/>
        <rFont val="Noto Sans CJK SC"/>
        <charset val="134"/>
      </rPr>
      <t>系统正式上线</t>
    </r>
    <r>
      <rPr>
        <sz val="9"/>
        <rFont val="Arial"/>
        <charset val="1"/>
      </rPr>
      <t>(Go-Live)</t>
    </r>
  </si>
  <si>
    <t>宣布正式启用</t>
  </si>
  <si>
    <r>
      <rPr>
        <sz val="9"/>
        <rFont val="Arial"/>
        <charset val="1"/>
      </rPr>
      <t>Go-Live(</t>
    </r>
    <r>
      <rPr>
        <sz val="9"/>
        <rFont val="Noto Sans CJK SC"/>
        <charset val="134"/>
      </rPr>
      <t>里程碑</t>
    </r>
    <r>
      <rPr>
        <sz val="9"/>
        <rFont val="Arial"/>
        <charset val="1"/>
      </rPr>
      <t>)</t>
    </r>
  </si>
  <si>
    <r>
      <rPr>
        <b/>
        <sz val="9"/>
        <rFont val="Arial"/>
        <charset val="1"/>
      </rPr>
      <t>7.</t>
    </r>
    <r>
      <rPr>
        <b/>
        <sz val="9"/>
        <rFont val="Noto Sans CJK SC"/>
        <charset val="134"/>
      </rPr>
      <t>收尾</t>
    </r>
  </si>
  <si>
    <t>7</t>
  </si>
  <si>
    <t>试运行与项目收尾</t>
  </si>
  <si>
    <t>含超保、运维交接、验收、结项</t>
  </si>
  <si>
    <t>项目结项获批</t>
  </si>
  <si>
    <r>
      <rPr>
        <sz val="9"/>
        <rFont val="Arial"/>
        <charset val="1"/>
      </rPr>
      <t>7.</t>
    </r>
    <r>
      <rPr>
        <sz val="9"/>
        <rFont val="Noto Sans CJK SC"/>
        <charset val="134"/>
      </rPr>
      <t>收尾</t>
    </r>
  </si>
  <si>
    <t>7.1</t>
  </si>
  <si>
    <t>上线支持与试运行</t>
  </si>
  <si>
    <t>超级用户支持、缺陷处理</t>
  </si>
  <si>
    <t>试运行期稳定运行</t>
  </si>
  <si>
    <t>7.1.1</t>
  </si>
  <si>
    <r>
      <rPr>
        <sz val="9"/>
        <rFont val="Noto Sans CJK SC"/>
        <charset val="134"/>
      </rPr>
      <t>上线超保支持</t>
    </r>
    <r>
      <rPr>
        <sz val="9"/>
        <rFont val="Arial"/>
        <charset val="1"/>
      </rPr>
      <t>(Hypercare)</t>
    </r>
  </si>
  <si>
    <r>
      <rPr>
        <sz val="9"/>
        <rFont val="Noto Sans CJK SC"/>
        <charset val="134"/>
      </rPr>
      <t>供应商驻场</t>
    </r>
    <r>
      <rPr>
        <sz val="9"/>
        <rFont val="Arial"/>
        <charset val="1"/>
      </rPr>
      <t>/</t>
    </r>
    <r>
      <rPr>
        <sz val="9"/>
        <rFont val="Noto Sans CJK SC"/>
        <charset val="134"/>
      </rPr>
      <t>远程支持期</t>
    </r>
  </si>
  <si>
    <t>超保期问题闭环</t>
  </si>
  <si>
    <t>7.1.2</t>
  </si>
  <si>
    <t>试运行监控与问题处理</t>
  </si>
  <si>
    <t>稳定性、性能监控</t>
  </si>
  <si>
    <t>试运行报告</t>
  </si>
  <si>
    <t>7.2</t>
  </si>
  <si>
    <t>知识转移与运维交接</t>
  </si>
  <si>
    <r>
      <rPr>
        <sz val="9"/>
        <rFont val="Arial"/>
        <charset val="1"/>
      </rPr>
      <t>IT</t>
    </r>
    <r>
      <rPr>
        <sz val="9"/>
        <rFont val="Noto Sans CJK SC"/>
        <charset val="134"/>
      </rPr>
      <t>运维接手，常被忽略</t>
    </r>
  </si>
  <si>
    <t>运维交接完成</t>
  </si>
  <si>
    <t>7.2.1</t>
  </si>
  <si>
    <r>
      <rPr>
        <sz val="9"/>
        <rFont val="Noto Sans CJK SC"/>
        <charset val="134"/>
      </rPr>
      <t>技术文档与源码</t>
    </r>
    <r>
      <rPr>
        <sz val="9"/>
        <rFont val="Arial"/>
        <charset val="1"/>
      </rPr>
      <t>/</t>
    </r>
    <r>
      <rPr>
        <sz val="9"/>
        <rFont val="Noto Sans CJK SC"/>
        <charset val="134"/>
      </rPr>
      <t>配置交付</t>
    </r>
  </si>
  <si>
    <r>
      <rPr>
        <sz val="9"/>
        <rFont val="Noto Sans CJK SC"/>
        <charset val="134"/>
      </rPr>
      <t>文档、配置、源码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如适用</t>
    </r>
    <r>
      <rPr>
        <sz val="9"/>
        <rFont val="Arial"/>
        <charset val="1"/>
      </rPr>
      <t>)</t>
    </r>
    <r>
      <rPr>
        <sz val="9"/>
        <rFont val="Noto Sans CJK SC"/>
        <charset val="134"/>
      </rPr>
      <t>交付</t>
    </r>
  </si>
  <si>
    <t>交付物清单签收</t>
  </si>
  <si>
    <t>7.2.2</t>
  </si>
  <si>
    <t>运维培训与交接</t>
  </si>
  <si>
    <r>
      <rPr>
        <sz val="9"/>
        <rFont val="Noto Sans CJK SC"/>
        <charset val="134"/>
      </rPr>
      <t>运维团队培训与</t>
    </r>
    <r>
      <rPr>
        <sz val="9"/>
        <rFont val="Arial"/>
        <charset val="1"/>
      </rPr>
      <t>SOP</t>
    </r>
  </si>
  <si>
    <t>运维交接单签字</t>
  </si>
  <si>
    <t>7.3</t>
  </si>
  <si>
    <t>项目验收与结项</t>
  </si>
  <si>
    <t>终验、尾款、复盘</t>
  </si>
  <si>
    <t>结项报告获批</t>
  </si>
  <si>
    <t>7.3.1</t>
  </si>
  <si>
    <t>项目终验与验收报告</t>
  </si>
  <si>
    <t>对照合同验收条款</t>
  </si>
  <si>
    <r>
      <rPr>
        <sz val="9"/>
        <rFont val="Noto Sans CJK SC"/>
        <charset val="134"/>
      </rPr>
      <t>验收报告签字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里程碑</t>
    </r>
    <r>
      <rPr>
        <sz val="9"/>
        <rFont val="Arial"/>
        <charset val="1"/>
      </rPr>
      <t>)</t>
    </r>
  </si>
  <si>
    <t>7.3.2</t>
  </si>
  <si>
    <t>合同结算与尾款支付</t>
  </si>
  <si>
    <t>验收后付款</t>
  </si>
  <si>
    <t>结算完成</t>
  </si>
  <si>
    <t>7.3.3</t>
  </si>
  <si>
    <t>项目复盘与结项</t>
  </si>
  <si>
    <t>经验教训、文档归档</t>
  </si>
  <si>
    <r>
      <rPr>
        <sz val="9"/>
        <rFont val="Noto Sans CJK SC"/>
        <charset val="134"/>
      </rPr>
      <t>结项报告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里程碑</t>
    </r>
    <r>
      <rPr>
        <sz val="9"/>
        <rFont val="Arial"/>
        <charset val="1"/>
      </rPr>
      <t>)</t>
    </r>
  </si>
  <si>
    <t>8.PM</t>
  </si>
  <si>
    <t>8</t>
  </si>
  <si>
    <r>
      <rPr>
        <b/>
        <sz val="9"/>
        <rFont val="Noto Sans CJK SC"/>
        <charset val="134"/>
      </rPr>
      <t>项目管理</t>
    </r>
    <r>
      <rPr>
        <b/>
        <sz val="9"/>
        <rFont val="Arial"/>
        <charset val="1"/>
      </rPr>
      <t>(</t>
    </r>
    <r>
      <rPr>
        <b/>
        <sz val="9"/>
        <rFont val="Noto Sans CJK SC"/>
        <charset val="134"/>
      </rPr>
      <t>贯穿全程</t>
    </r>
    <r>
      <rPr>
        <b/>
        <sz val="9"/>
        <rFont val="Arial"/>
        <charset val="1"/>
      </rPr>
      <t>)</t>
    </r>
  </si>
  <si>
    <r>
      <rPr>
        <b/>
        <sz val="9"/>
        <rFont val="Arial"/>
        <charset val="1"/>
      </rPr>
      <t>PMO</t>
    </r>
    <r>
      <rPr>
        <b/>
        <sz val="9"/>
        <rFont val="Noto Sans CJK SC"/>
        <charset val="134"/>
      </rPr>
      <t>管理工作本身，常被漏掉</t>
    </r>
  </si>
  <si>
    <t>按期输出管理成果</t>
  </si>
  <si>
    <t>8.1</t>
  </si>
  <si>
    <t>进度与例会管理</t>
  </si>
  <si>
    <t>周例会、月报、进度跟踪</t>
  </si>
  <si>
    <r>
      <rPr>
        <sz val="9"/>
        <rFont val="Noto Sans CJK SC"/>
        <charset val="134"/>
      </rPr>
      <t>周报</t>
    </r>
    <r>
      <rPr>
        <sz val="9"/>
        <rFont val="Arial"/>
        <charset val="1"/>
      </rPr>
      <t>/</t>
    </r>
    <r>
      <rPr>
        <sz val="9"/>
        <rFont val="Noto Sans CJK SC"/>
        <charset val="134"/>
      </rPr>
      <t>月报按时发布</t>
    </r>
  </si>
  <si>
    <t>8.1.1</t>
  </si>
  <si>
    <t>项目周例会与周报</t>
  </si>
  <si>
    <t>进度、风险、问题跟踪</t>
  </si>
  <si>
    <t>周报</t>
  </si>
  <si>
    <t>8.1.2</t>
  </si>
  <si>
    <r>
      <rPr>
        <sz val="9"/>
        <rFont val="Arial"/>
        <charset val="1"/>
      </rPr>
      <t>PMO</t>
    </r>
    <r>
      <rPr>
        <sz val="9"/>
        <rFont val="Noto Sans CJK SC"/>
        <charset val="134"/>
      </rPr>
      <t>月度汇报</t>
    </r>
  </si>
  <si>
    <t>里程碑、偏差、风险汇报</t>
  </si>
  <si>
    <t>月度报告</t>
  </si>
  <si>
    <t>8.2</t>
  </si>
  <si>
    <t>变更与风险管理</t>
  </si>
  <si>
    <t>变更控制、风险登记册</t>
  </si>
  <si>
    <r>
      <rPr>
        <sz val="9"/>
        <rFont val="Noto Sans CJK SC"/>
        <charset val="134"/>
      </rPr>
      <t>变更</t>
    </r>
    <r>
      <rPr>
        <sz val="9"/>
        <rFont val="Arial"/>
        <charset val="1"/>
      </rPr>
      <t>/</t>
    </r>
    <r>
      <rPr>
        <sz val="9"/>
        <rFont val="Noto Sans CJK SC"/>
        <charset val="134"/>
      </rPr>
      <t>风险闭环</t>
    </r>
  </si>
  <si>
    <t>8.2.1</t>
  </si>
  <si>
    <r>
      <rPr>
        <sz val="9"/>
        <rFont val="Noto Sans CJK SC"/>
        <charset val="134"/>
      </rPr>
      <t>变更控制</t>
    </r>
    <r>
      <rPr>
        <sz val="9"/>
        <rFont val="Arial"/>
        <charset val="1"/>
      </rPr>
      <t>(CR)</t>
    </r>
    <r>
      <rPr>
        <sz val="9"/>
        <rFont val="Noto Sans CJK SC"/>
        <charset val="134"/>
      </rPr>
      <t>管理</t>
    </r>
  </si>
  <si>
    <t>变更申请、评估、审批</t>
  </si>
  <si>
    <t>变更台账</t>
  </si>
  <si>
    <t>8.2.2</t>
  </si>
  <si>
    <r>
      <rPr>
        <sz val="9"/>
        <rFont val="Noto Sans CJK SC"/>
        <charset val="134"/>
      </rPr>
      <t>风险与问题</t>
    </r>
    <r>
      <rPr>
        <sz val="9"/>
        <rFont val="Arial"/>
        <charset val="1"/>
      </rPr>
      <t>(RAID)</t>
    </r>
    <r>
      <rPr>
        <sz val="9"/>
        <rFont val="Noto Sans CJK SC"/>
        <charset val="134"/>
      </rPr>
      <t>管理</t>
    </r>
  </si>
  <si>
    <t>风险登记册、问题跟踪</t>
  </si>
  <si>
    <r>
      <rPr>
        <sz val="9"/>
        <rFont val="Arial"/>
        <charset val="1"/>
      </rPr>
      <t>RAID</t>
    </r>
    <r>
      <rPr>
        <sz val="9"/>
        <rFont val="Noto Sans CJK SC"/>
        <charset val="134"/>
      </rPr>
      <t>台账</t>
    </r>
  </si>
  <si>
    <t>8.3</t>
  </si>
  <si>
    <t>供应商管理</t>
  </si>
  <si>
    <t>外购项目核心管理动作</t>
  </si>
  <si>
    <t>供应商履约达标</t>
  </si>
  <si>
    <t>8.3.1</t>
  </si>
  <si>
    <r>
      <rPr>
        <sz val="9"/>
        <rFont val="Noto Sans CJK SC"/>
        <charset val="134"/>
      </rPr>
      <t>供应商绩效与</t>
    </r>
    <r>
      <rPr>
        <sz val="9"/>
        <rFont val="Arial"/>
        <charset val="1"/>
      </rPr>
      <t>SLA</t>
    </r>
    <r>
      <rPr>
        <sz val="9"/>
        <rFont val="Noto Sans CJK SC"/>
        <charset val="134"/>
      </rPr>
      <t>跟踪</t>
    </r>
  </si>
  <si>
    <r>
      <rPr>
        <sz val="9"/>
        <rFont val="Noto Sans CJK SC"/>
        <charset val="134"/>
      </rPr>
      <t>交付质量、进度、</t>
    </r>
    <r>
      <rPr>
        <sz val="9"/>
        <rFont val="Arial"/>
        <charset val="1"/>
      </rPr>
      <t>SLA</t>
    </r>
    <r>
      <rPr>
        <sz val="9"/>
        <rFont val="Noto Sans CJK SC"/>
        <charset val="134"/>
      </rPr>
      <t>考核</t>
    </r>
  </si>
  <si>
    <t>供应商评估表</t>
  </si>
  <si>
    <t>8.3.2</t>
  </si>
  <si>
    <t>付款节点与合同履约管理</t>
  </si>
  <si>
    <t>按里程碑付款控制</t>
  </si>
  <si>
    <t>付款审批记录</t>
  </si>
  <si>
    <r>
      <rPr>
        <i/>
        <sz val="9"/>
        <color rgb="FF7F7F7F"/>
        <rFont val="Arial"/>
        <charset val="1"/>
      </rPr>
      <t>1.</t>
    </r>
    <r>
      <rPr>
        <i/>
        <sz val="9"/>
        <color rgb="FF7F7F7F"/>
        <rFont val="Noto Sans CJK SC"/>
        <charset val="134"/>
      </rPr>
      <t>立项</t>
    </r>
  </si>
  <si>
    <t>示例</t>
  </si>
  <si>
    <r>
      <rPr>
        <i/>
        <sz val="9"/>
        <color rgb="FF7F7F7F"/>
        <rFont val="Noto Sans CJK SC"/>
        <charset val="134"/>
      </rPr>
      <t>【示例行</t>
    </r>
    <r>
      <rPr>
        <i/>
        <sz val="9"/>
        <color rgb="FF7F7F7F"/>
        <rFont val="Arial"/>
        <charset val="1"/>
      </rPr>
      <t>·</t>
    </r>
    <r>
      <rPr>
        <i/>
        <sz val="9"/>
        <color rgb="FF7F7F7F"/>
        <rFont val="Noto Sans CJK SC"/>
        <charset val="134"/>
      </rPr>
      <t>可删】业务需求说明书</t>
    </r>
    <r>
      <rPr>
        <i/>
        <sz val="9"/>
        <color rgb="FF7F7F7F"/>
        <rFont val="Arial"/>
        <charset val="1"/>
      </rPr>
      <t>(BRD)</t>
    </r>
  </si>
  <si>
    <t>示例：含需求背景与目标；不含技术方案</t>
  </si>
  <si>
    <r>
      <rPr>
        <i/>
        <sz val="9"/>
        <color rgb="FF7F7F7F"/>
        <rFont val="Noto Sans CJK SC"/>
        <charset val="134"/>
      </rPr>
      <t>示例：</t>
    </r>
    <r>
      <rPr>
        <i/>
        <sz val="9"/>
        <color rgb="FF7F7F7F"/>
        <rFont val="Arial"/>
        <charset val="1"/>
      </rPr>
      <t>BRD</t>
    </r>
    <r>
      <rPr>
        <i/>
        <sz val="9"/>
        <color rgb="FF7F7F7F"/>
        <rFont val="Noto Sans CJK SC"/>
        <charset val="134"/>
      </rPr>
      <t>经业务方签字</t>
    </r>
  </si>
  <si>
    <t>张三</t>
  </si>
  <si>
    <t>示例行，正式使用请删除</t>
  </si>
  <si>
    <r>
      <rPr>
        <b/>
        <sz val="10"/>
        <color rgb="FFFFFFFF"/>
        <rFont val="Arial"/>
        <charset val="1"/>
      </rPr>
      <t>WBS</t>
    </r>
    <r>
      <rPr>
        <b/>
        <sz val="10"/>
        <color rgb="FFFFFFFF"/>
        <rFont val="Noto Sans CJK SC"/>
        <charset val="134"/>
      </rPr>
      <t>编号</t>
    </r>
  </si>
  <si>
    <t>里程碑名称</t>
  </si>
  <si>
    <r>
      <rPr>
        <b/>
        <sz val="10"/>
        <color rgb="FFFFFFFF"/>
        <rFont val="Noto Sans CJK SC"/>
        <charset val="134"/>
      </rPr>
      <t>偏差</t>
    </r>
    <r>
      <rPr>
        <b/>
        <sz val="10"/>
        <color rgb="FFFFFFFF"/>
        <rFont val="Arial"/>
        <charset val="1"/>
      </rPr>
      <t>(</t>
    </r>
    <r>
      <rPr>
        <b/>
        <sz val="10"/>
        <color rgb="FFFFFFFF"/>
        <rFont val="Noto Sans CJK SC"/>
        <charset val="134"/>
      </rPr>
      <t>天</t>
    </r>
    <r>
      <rPr>
        <b/>
        <sz val="10"/>
        <color rgb="FFFFFFFF"/>
        <rFont val="Arial"/>
        <charset val="1"/>
      </rPr>
      <t>)</t>
    </r>
  </si>
  <si>
    <t>字段说明与使用规范</t>
  </si>
  <si>
    <t>字段</t>
  </si>
  <si>
    <t>类别</t>
  </si>
  <si>
    <t>填写方式</t>
  </si>
  <si>
    <r>
      <rPr>
        <b/>
        <sz val="10"/>
        <color rgb="FFFFFFFF"/>
        <rFont val="Noto Sans CJK SC"/>
        <charset val="134"/>
      </rPr>
      <t xml:space="preserve">说明 </t>
    </r>
    <r>
      <rPr>
        <b/>
        <sz val="10"/>
        <color rgb="FFFFFFFF"/>
        <rFont val="Arial"/>
        <charset val="1"/>
      </rPr>
      <t>/ PMO</t>
    </r>
    <r>
      <rPr>
        <b/>
        <sz val="10"/>
        <color rgb="FFFFFFFF"/>
        <rFont val="Noto Sans CJK SC"/>
        <charset val="134"/>
      </rPr>
      <t>用途</t>
    </r>
  </si>
  <si>
    <t>结构</t>
  </si>
  <si>
    <t>手工</t>
  </si>
  <si>
    <t>便于按阶段筛选与汇报</t>
  </si>
  <si>
    <r>
      <rPr>
        <b/>
        <sz val="9"/>
        <rFont val="Arial"/>
        <charset val="1"/>
      </rPr>
      <t>WBS</t>
    </r>
    <r>
      <rPr>
        <b/>
        <sz val="9"/>
        <rFont val="Noto Sans CJK SC"/>
        <charset val="134"/>
      </rPr>
      <t>编号</t>
    </r>
  </si>
  <si>
    <r>
      <rPr>
        <sz val="9"/>
        <rFont val="Noto Sans CJK SC"/>
        <charset val="134"/>
      </rPr>
      <t>层级式编号</t>
    </r>
    <r>
      <rPr>
        <sz val="9"/>
        <rFont val="Arial"/>
        <charset val="1"/>
      </rPr>
      <t>(1/1.1/1.1.1)</t>
    </r>
    <r>
      <rPr>
        <sz val="9"/>
        <rFont val="Noto Sans CJK SC"/>
        <charset val="134"/>
      </rPr>
      <t>，全表主键；本模板分解至第</t>
    </r>
    <r>
      <rPr>
        <sz val="9"/>
        <rFont val="Arial"/>
        <charset val="1"/>
      </rPr>
      <t>3</t>
    </r>
    <r>
      <rPr>
        <sz val="9"/>
        <rFont val="Noto Sans CJK SC"/>
        <charset val="134"/>
      </rPr>
      <t>层工作包</t>
    </r>
  </si>
  <si>
    <r>
      <rPr>
        <b/>
        <sz val="9"/>
        <rFont val="Noto Sans CJK SC"/>
        <charset val="134"/>
      </rPr>
      <t>任务名称</t>
    </r>
    <r>
      <rPr>
        <b/>
        <sz val="9"/>
        <rFont val="Arial"/>
        <charset val="1"/>
      </rPr>
      <t>(</t>
    </r>
    <r>
      <rPr>
        <b/>
        <sz val="9"/>
        <rFont val="Noto Sans CJK SC"/>
        <charset val="134"/>
      </rPr>
      <t>交付物</t>
    </r>
    <r>
      <rPr>
        <b/>
        <sz val="9"/>
        <rFont val="Arial"/>
        <charset val="1"/>
      </rPr>
      <t>)</t>
    </r>
  </si>
  <si>
    <r>
      <rPr>
        <sz val="9"/>
        <rFont val="Noto Sans CJK SC"/>
        <charset val="134"/>
      </rPr>
      <t>★用名词性交付物命名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如“需求规格说明书”</t>
    </r>
    <r>
      <rPr>
        <sz val="9"/>
        <rFont val="Arial"/>
        <charset val="1"/>
      </rPr>
      <t>)</t>
    </r>
    <r>
      <rPr>
        <sz val="9"/>
        <rFont val="Noto Sans CJK SC"/>
        <charset val="134"/>
      </rPr>
      <t>，而非动词</t>
    </r>
    <r>
      <rPr>
        <sz val="9"/>
        <rFont val="Arial"/>
        <charset val="1"/>
      </rPr>
      <t>(“</t>
    </r>
    <r>
      <rPr>
        <sz val="9"/>
        <rFont val="Noto Sans CJK SC"/>
        <charset val="134"/>
      </rPr>
      <t>编写需求”</t>
    </r>
    <r>
      <rPr>
        <sz val="9"/>
        <rFont val="Arial"/>
        <charset val="1"/>
      </rPr>
      <t>)——WBS</t>
    </r>
    <r>
      <rPr>
        <sz val="9"/>
        <rFont val="Noto Sans CJK SC"/>
        <charset val="134"/>
      </rPr>
      <t>分解的是成果，不是活动</t>
    </r>
  </si>
  <si>
    <r>
      <rPr>
        <b/>
        <sz val="9"/>
        <rFont val="Arial"/>
        <charset val="1"/>
      </rPr>
      <t>WBS</t>
    </r>
    <r>
      <rPr>
        <b/>
        <sz val="9"/>
        <rFont val="Noto Sans CJK SC"/>
        <charset val="134"/>
      </rPr>
      <t>词典说明</t>
    </r>
  </si>
  <si>
    <r>
      <rPr>
        <sz val="9"/>
        <rFont val="Noto Sans CJK SC"/>
        <charset val="134"/>
      </rPr>
      <t>★写清“含什么</t>
    </r>
    <r>
      <rPr>
        <sz val="9"/>
        <rFont val="Arial"/>
        <charset val="1"/>
      </rPr>
      <t>/</t>
    </r>
    <r>
      <rPr>
        <sz val="9"/>
        <rFont val="Noto Sans CJK SC"/>
        <charset val="134"/>
      </rPr>
      <t>不含什么”。边界不清是项目扯皮与失控的头号根源，务必填写</t>
    </r>
  </si>
  <si>
    <r>
      <rPr>
        <b/>
        <sz val="9"/>
        <rFont val="Noto Sans CJK SC"/>
        <charset val="134"/>
      </rPr>
      <t>交付物</t>
    </r>
    <r>
      <rPr>
        <b/>
        <sz val="9"/>
        <rFont val="Arial"/>
        <charset val="1"/>
      </rPr>
      <t>/</t>
    </r>
    <r>
      <rPr>
        <b/>
        <sz val="9"/>
        <rFont val="Noto Sans CJK SC"/>
        <charset val="134"/>
      </rPr>
      <t>验收标准</t>
    </r>
    <r>
      <rPr>
        <b/>
        <sz val="9"/>
        <rFont val="Arial"/>
        <charset val="1"/>
      </rPr>
      <t>(DoD)</t>
    </r>
  </si>
  <si>
    <r>
      <rPr>
        <sz val="9"/>
        <rFont val="Noto Sans CJK SC"/>
        <charset val="134"/>
      </rPr>
      <t>完成的定义。没有</t>
    </r>
    <r>
      <rPr>
        <sz val="9"/>
        <rFont val="Arial"/>
        <charset val="1"/>
      </rPr>
      <t>DoD</t>
    </r>
    <r>
      <rPr>
        <sz val="9"/>
        <rFont val="Noto Sans CJK SC"/>
        <charset val="134"/>
      </rPr>
      <t>，“完成</t>
    </r>
    <r>
      <rPr>
        <sz val="9"/>
        <rFont val="Arial"/>
        <charset val="1"/>
      </rPr>
      <t>80%”</t>
    </r>
    <r>
      <rPr>
        <sz val="9"/>
        <rFont val="Noto Sans CJK SC"/>
        <charset val="134"/>
      </rPr>
      <t>就是空话</t>
    </r>
  </si>
  <si>
    <t>责任</t>
  </si>
  <si>
    <r>
      <rPr>
        <sz val="9"/>
        <rFont val="Noto Sans CJK SC"/>
        <charset val="134"/>
      </rPr>
      <t>★一个工作包只能有一个责任人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唯一</t>
    </r>
    <r>
      <rPr>
        <sz val="9"/>
        <rFont val="Arial"/>
        <charset val="1"/>
      </rPr>
      <t>)</t>
    </r>
    <r>
      <rPr>
        <sz val="9"/>
        <rFont val="Noto Sans CJK SC"/>
        <charset val="134"/>
      </rPr>
      <t>，这是纪律问题</t>
    </r>
  </si>
  <si>
    <t>进度</t>
  </si>
  <si>
    <t>下拉</t>
  </si>
  <si>
    <r>
      <rPr>
        <sz val="9"/>
        <rFont val="Noto Sans CJK SC"/>
        <charset val="134"/>
      </rPr>
      <t>是</t>
    </r>
    <r>
      <rPr>
        <sz val="9"/>
        <rFont val="Arial"/>
        <charset val="1"/>
      </rPr>
      <t>/</t>
    </r>
    <r>
      <rPr>
        <sz val="9"/>
        <rFont val="Noto Sans CJK SC"/>
        <charset val="134"/>
      </rPr>
      <t>否；勾选“是”的行会自动出现在“里程碑跟踪”页并加粗标红</t>
    </r>
  </si>
  <si>
    <t>优先级</t>
  </si>
  <si>
    <t>管理</t>
  </si>
  <si>
    <r>
      <rPr>
        <sz val="9"/>
        <rFont val="Noto Sans CJK SC"/>
        <charset val="134"/>
      </rPr>
      <t>高</t>
    </r>
    <r>
      <rPr>
        <sz val="9"/>
        <rFont val="Arial"/>
        <charset val="1"/>
      </rPr>
      <t>/</t>
    </r>
    <r>
      <rPr>
        <sz val="9"/>
        <rFont val="Noto Sans CJK SC"/>
        <charset val="134"/>
      </rPr>
      <t>中</t>
    </r>
    <r>
      <rPr>
        <sz val="9"/>
        <rFont val="Arial"/>
        <charset val="1"/>
      </rPr>
      <t>/</t>
    </r>
    <r>
      <rPr>
        <sz val="9"/>
        <rFont val="Noto Sans CJK SC"/>
        <charset val="134"/>
      </rPr>
      <t>低；资源冲突时的排序依据</t>
    </r>
  </si>
  <si>
    <r>
      <rPr>
        <b/>
        <sz val="9"/>
        <rFont val="Noto Sans CJK SC"/>
        <charset val="134"/>
      </rPr>
      <t>前置任务</t>
    </r>
    <r>
      <rPr>
        <b/>
        <sz val="9"/>
        <rFont val="Arial"/>
        <charset val="1"/>
      </rPr>
      <t>(WBS</t>
    </r>
    <r>
      <rPr>
        <b/>
        <sz val="9"/>
        <rFont val="Noto Sans CJK SC"/>
        <charset val="134"/>
      </rPr>
      <t>号</t>
    </r>
    <r>
      <rPr>
        <b/>
        <sz val="9"/>
        <rFont val="Arial"/>
        <charset val="1"/>
      </rPr>
      <t>)</t>
    </r>
  </si>
  <si>
    <r>
      <rPr>
        <sz val="9"/>
        <rFont val="Noto Sans CJK SC"/>
        <charset val="134"/>
      </rPr>
      <t>填前置任务</t>
    </r>
    <r>
      <rPr>
        <sz val="9"/>
        <rFont val="Arial"/>
        <charset val="1"/>
      </rPr>
      <t>WBS</t>
    </r>
    <r>
      <rPr>
        <sz val="9"/>
        <rFont val="Noto Sans CJK SC"/>
        <charset val="134"/>
      </rPr>
      <t>编号，是排关键路径的前提；无依赖则留空</t>
    </r>
  </si>
  <si>
    <r>
      <rPr>
        <b/>
        <sz val="9"/>
        <rFont val="Noto Sans CJK SC"/>
        <charset val="134"/>
      </rPr>
      <t>计划开始</t>
    </r>
    <r>
      <rPr>
        <b/>
        <sz val="9"/>
        <rFont val="Arial"/>
        <charset val="1"/>
      </rPr>
      <t>/</t>
    </r>
    <r>
      <rPr>
        <b/>
        <sz val="9"/>
        <rFont val="Noto Sans CJK SC"/>
        <charset val="134"/>
      </rPr>
      <t>结束</t>
    </r>
  </si>
  <si>
    <t>当前计划日期，可随变更更新</t>
  </si>
  <si>
    <r>
      <rPr>
        <b/>
        <sz val="9"/>
        <rFont val="Noto Sans CJK SC"/>
        <charset val="134"/>
      </rPr>
      <t>实际开始</t>
    </r>
    <r>
      <rPr>
        <b/>
        <sz val="9"/>
        <rFont val="Arial"/>
        <charset val="1"/>
      </rPr>
      <t>/</t>
    </r>
    <r>
      <rPr>
        <b/>
        <sz val="9"/>
        <rFont val="Noto Sans CJK SC"/>
        <charset val="134"/>
      </rPr>
      <t>结束</t>
    </r>
  </si>
  <si>
    <t>实际发生日期，用于计算偏差</t>
  </si>
  <si>
    <r>
      <rPr>
        <b/>
        <sz val="9"/>
        <rFont val="Noto Sans CJK SC"/>
        <charset val="134"/>
      </rPr>
      <t>进度偏差</t>
    </r>
    <r>
      <rPr>
        <b/>
        <sz val="9"/>
        <rFont val="Arial"/>
        <charset val="1"/>
      </rPr>
      <t>(</t>
    </r>
    <r>
      <rPr>
        <b/>
        <sz val="9"/>
        <rFont val="Noto Sans CJK SC"/>
        <charset val="134"/>
      </rPr>
      <t>天</t>
    </r>
    <r>
      <rPr>
        <b/>
        <sz val="9"/>
        <rFont val="Arial"/>
        <charset val="1"/>
      </rPr>
      <t>)</t>
    </r>
  </si>
  <si>
    <t>公式</t>
  </si>
  <si>
    <r>
      <rPr>
        <sz val="9"/>
        <rFont val="Noto Sans CJK SC"/>
        <charset val="134"/>
      </rPr>
      <t>实际结束</t>
    </r>
    <r>
      <rPr>
        <sz val="9"/>
        <rFont val="Arial"/>
        <charset val="1"/>
      </rPr>
      <t>-</t>
    </r>
    <r>
      <rPr>
        <sz val="9"/>
        <rFont val="Noto Sans CJK SC"/>
        <charset val="134"/>
      </rPr>
      <t>计划结束；</t>
    </r>
    <r>
      <rPr>
        <sz val="9"/>
        <rFont val="Arial"/>
        <charset val="1"/>
      </rPr>
      <t>&gt;0(</t>
    </r>
    <r>
      <rPr>
        <sz val="9"/>
        <rFont val="Noto Sans CJK SC"/>
        <charset val="134"/>
      </rPr>
      <t>延期</t>
    </r>
    <r>
      <rPr>
        <sz val="9"/>
        <rFont val="Arial"/>
        <charset val="1"/>
      </rPr>
      <t>)</t>
    </r>
    <r>
      <rPr>
        <sz val="9"/>
        <rFont val="Noto Sans CJK SC"/>
        <charset val="134"/>
      </rPr>
      <t>自动标红，</t>
    </r>
    <r>
      <rPr>
        <sz val="9"/>
        <rFont val="Arial"/>
        <charset val="1"/>
      </rPr>
      <t>&lt;0(</t>
    </r>
    <r>
      <rPr>
        <sz val="9"/>
        <rFont val="Noto Sans CJK SC"/>
        <charset val="134"/>
      </rPr>
      <t>提前</t>
    </r>
    <r>
      <rPr>
        <sz val="9"/>
        <rFont val="Arial"/>
        <charset val="1"/>
      </rPr>
      <t>)</t>
    </r>
    <r>
      <rPr>
        <sz val="9"/>
        <rFont val="Noto Sans CJK SC"/>
        <charset val="134"/>
      </rPr>
      <t>标绿。这是预警触发源</t>
    </r>
  </si>
  <si>
    <r>
      <rPr>
        <b/>
        <sz val="9"/>
        <rFont val="Noto Sans CJK SC"/>
        <charset val="134"/>
      </rPr>
      <t>完成度</t>
    </r>
    <r>
      <rPr>
        <b/>
        <sz val="9"/>
        <rFont val="Arial"/>
        <charset val="1"/>
      </rPr>
      <t>%</t>
    </r>
  </si>
  <si>
    <r>
      <rPr>
        <sz val="9"/>
        <rFont val="Noto Sans CJK SC"/>
        <charset val="134"/>
      </rPr>
      <t>★采用</t>
    </r>
    <r>
      <rPr>
        <sz val="9"/>
        <rFont val="Arial"/>
        <charset val="1"/>
      </rPr>
      <t>0/50/100</t>
    </r>
    <r>
      <rPr>
        <sz val="9"/>
        <rFont val="Noto Sans CJK SC"/>
        <charset val="134"/>
      </rPr>
      <t>三档法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未开始</t>
    </r>
    <r>
      <rPr>
        <sz val="9"/>
        <rFont val="Arial"/>
        <charset val="1"/>
      </rPr>
      <t>/</t>
    </r>
    <r>
      <rPr>
        <sz val="9"/>
        <rFont val="Noto Sans CJK SC"/>
        <charset val="134"/>
      </rPr>
      <t>进行中</t>
    </r>
    <r>
      <rPr>
        <sz val="9"/>
        <rFont val="Arial"/>
        <charset val="1"/>
      </rPr>
      <t>/</t>
    </r>
    <r>
      <rPr>
        <sz val="9"/>
        <rFont val="Noto Sans CJK SC"/>
        <charset val="134"/>
      </rPr>
      <t>已完成</t>
    </r>
    <r>
      <rPr>
        <sz val="9"/>
        <rFont val="Arial"/>
        <charset val="1"/>
      </rPr>
      <t>)</t>
    </r>
    <r>
      <rPr>
        <sz val="9"/>
        <rFont val="Noto Sans CJK SC"/>
        <charset val="134"/>
      </rPr>
      <t>。配合</t>
    </r>
    <r>
      <rPr>
        <sz val="9"/>
        <rFont val="Arial"/>
        <charset val="1"/>
      </rPr>
      <t>8~80</t>
    </r>
    <r>
      <rPr>
        <sz val="9"/>
        <rFont val="Noto Sans CJK SC"/>
        <charset val="134"/>
      </rPr>
      <t>原则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工作包拆到</t>
    </r>
    <r>
      <rPr>
        <sz val="9"/>
        <rFont val="Arial"/>
        <charset val="1"/>
      </rPr>
      <t>8~80</t>
    </r>
    <r>
      <rPr>
        <sz val="9"/>
        <rFont val="Noto Sans CJK SC"/>
        <charset val="134"/>
      </rPr>
      <t>小时</t>
    </r>
    <r>
      <rPr>
        <sz val="9"/>
        <rFont val="Arial"/>
        <charset val="1"/>
      </rPr>
      <t>)</t>
    </r>
    <r>
      <rPr>
        <sz val="9"/>
        <rFont val="Noto Sans CJK SC"/>
        <charset val="134"/>
      </rPr>
      <t>，比精细百分比更真实，可根治“</t>
    </r>
    <r>
      <rPr>
        <sz val="9"/>
        <rFont val="Arial"/>
        <charset val="1"/>
      </rPr>
      <t>90%</t>
    </r>
    <r>
      <rPr>
        <sz val="9"/>
        <rFont val="Noto Sans CJK SC"/>
        <charset val="134"/>
      </rPr>
      <t>挂三个月”</t>
    </r>
  </si>
  <si>
    <r>
      <rPr>
        <sz val="9"/>
        <rFont val="Noto Sans CJK SC"/>
        <charset val="134"/>
      </rPr>
      <t>据完成度与计划结束日自动判定：未开始</t>
    </r>
    <r>
      <rPr>
        <sz val="9"/>
        <rFont val="Arial"/>
        <charset val="1"/>
      </rPr>
      <t>/</t>
    </r>
    <r>
      <rPr>
        <sz val="9"/>
        <rFont val="Noto Sans CJK SC"/>
        <charset val="134"/>
      </rPr>
      <t>进行中</t>
    </r>
    <r>
      <rPr>
        <sz val="9"/>
        <rFont val="Arial"/>
        <charset val="1"/>
      </rPr>
      <t>/</t>
    </r>
    <r>
      <rPr>
        <sz val="9"/>
        <rFont val="Noto Sans CJK SC"/>
        <charset val="134"/>
      </rPr>
      <t>已完成</t>
    </r>
    <r>
      <rPr>
        <sz val="9"/>
        <rFont val="Arial"/>
        <charset val="1"/>
      </rPr>
      <t>/</t>
    </r>
    <r>
      <rPr>
        <sz val="9"/>
        <rFont val="Noto Sans CJK SC"/>
        <charset val="134"/>
      </rPr>
      <t>已延期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自动标红</t>
    </r>
    <r>
      <rPr>
        <sz val="9"/>
        <rFont val="Arial"/>
        <charset val="1"/>
      </rPr>
      <t>)</t>
    </r>
  </si>
  <si>
    <t>关键路径</t>
  </si>
  <si>
    <r>
      <rPr>
        <sz val="9"/>
        <rFont val="Noto Sans CJK SC"/>
        <charset val="134"/>
      </rPr>
      <t>是</t>
    </r>
    <r>
      <rPr>
        <sz val="9"/>
        <rFont val="Arial"/>
        <charset val="1"/>
      </rPr>
      <t>/</t>
    </r>
    <r>
      <rPr>
        <sz val="9"/>
        <rFont val="Noto Sans CJK SC"/>
        <charset val="134"/>
      </rPr>
      <t>否；该项延期将直接导致项目整体延期，需重点盯</t>
    </r>
  </si>
  <si>
    <t>其他</t>
  </si>
  <si>
    <t>补充说明</t>
  </si>
  <si>
    <t>三条实践提醒（比字段本身更重要）</t>
  </si>
  <si>
    <r>
      <rPr>
        <sz val="9"/>
        <rFont val="Arial"/>
        <charset val="1"/>
      </rPr>
      <t xml:space="preserve">1. </t>
    </r>
    <r>
      <rPr>
        <sz val="9"/>
        <rFont val="Noto Sans CJK SC"/>
        <charset val="134"/>
      </rPr>
      <t>字段宁少勿多：字段越多，一线越不愿更新；数据不更新，</t>
    </r>
    <r>
      <rPr>
        <sz val="9"/>
        <rFont val="Arial"/>
        <charset val="1"/>
      </rPr>
      <t>PMO</t>
    </r>
    <r>
      <rPr>
        <sz val="9"/>
        <rFont val="Noto Sans CJK SC"/>
        <charset val="134"/>
      </rPr>
      <t>看到的就是假进度。本模板已控制在必备</t>
    </r>
    <r>
      <rPr>
        <sz val="9"/>
        <rFont val="Arial"/>
        <charset val="1"/>
      </rPr>
      <t>+</t>
    </r>
    <r>
      <rPr>
        <sz val="9"/>
        <rFont val="Noto Sans CJK SC"/>
        <charset val="134"/>
      </rPr>
      <t>进度层，跑顺后再按需增列</t>
    </r>
    <r>
      <rPr>
        <sz val="9"/>
        <rFont val="Arial"/>
        <charset val="1"/>
      </rPr>
      <t>(</t>
    </r>
    <r>
      <rPr>
        <sz val="9"/>
        <rFont val="Noto Sans CJK SC"/>
        <charset val="134"/>
      </rPr>
      <t>如成本、</t>
    </r>
    <r>
      <rPr>
        <sz val="9"/>
        <rFont val="Arial"/>
        <charset val="1"/>
      </rPr>
      <t>RACI</t>
    </r>
    <r>
      <rPr>
        <sz val="9"/>
        <rFont val="Noto Sans CJK SC"/>
        <charset val="134"/>
      </rPr>
      <t>四列</t>
    </r>
    <r>
      <rPr>
        <sz val="9"/>
        <rFont val="Arial"/>
        <charset val="1"/>
      </rPr>
      <t>)</t>
    </r>
    <r>
      <rPr>
        <sz val="9"/>
        <rFont val="Noto Sans CJK SC"/>
        <charset val="134"/>
      </rPr>
      <t>。</t>
    </r>
  </si>
  <si>
    <r>
      <rPr>
        <sz val="9"/>
        <rFont val="Arial"/>
        <charset val="1"/>
      </rPr>
      <t xml:space="preserve">2. </t>
    </r>
    <r>
      <rPr>
        <sz val="9"/>
        <rFont val="Noto Sans CJK SC"/>
        <charset val="134"/>
      </rPr>
      <t>完成度务必定死口径：采用</t>
    </r>
    <r>
      <rPr>
        <sz val="9"/>
        <rFont val="Arial"/>
        <charset val="1"/>
      </rPr>
      <t>0/50/100</t>
    </r>
    <r>
      <rPr>
        <sz val="9"/>
        <rFont val="Noto Sans CJK SC"/>
        <charset val="134"/>
      </rPr>
      <t>三档法，配合</t>
    </r>
    <r>
      <rPr>
        <sz val="9"/>
        <rFont val="Arial"/>
        <charset val="1"/>
      </rPr>
      <t>8~80</t>
    </r>
    <r>
      <rPr>
        <sz val="9"/>
        <rFont val="Noto Sans CJK SC"/>
        <charset val="134"/>
      </rPr>
      <t>原则把工作包拆小，杜绝“完成</t>
    </r>
    <r>
      <rPr>
        <sz val="9"/>
        <rFont val="Arial"/>
        <charset val="1"/>
      </rPr>
      <t>90%”</t>
    </r>
    <r>
      <rPr>
        <sz val="9"/>
        <rFont val="Noto Sans CJK SC"/>
        <charset val="134"/>
      </rPr>
      <t>长期挂账。</t>
    </r>
  </si>
  <si>
    <r>
      <t xml:space="preserve">3. </t>
    </r>
    <r>
      <rPr>
        <sz val="9"/>
        <rFont val="Noto Sans CJK SC"/>
        <charset val="1"/>
      </rPr>
      <t>付款与里程碑挂钩：建议将合同付款节点与本表里程碑</t>
    </r>
    <r>
      <rPr>
        <sz val="9"/>
        <rFont val="Arial"/>
        <charset val="1"/>
      </rPr>
      <t>(K</t>
    </r>
    <r>
      <rPr>
        <sz val="9"/>
        <rFont val="Noto Sans CJK SC"/>
        <charset val="1"/>
      </rPr>
      <t>列</t>
    </r>
    <r>
      <rPr>
        <sz val="9"/>
        <rFont val="Arial"/>
        <charset val="1"/>
      </rPr>
      <t>=</t>
    </r>
    <r>
      <rPr>
        <sz val="9"/>
        <rFont val="Noto Sans CJK SC"/>
        <charset val="1"/>
      </rPr>
      <t>是</t>
    </r>
    <r>
      <rPr>
        <sz val="9"/>
        <rFont val="Arial"/>
        <charset val="1"/>
      </rPr>
      <t>)</t>
    </r>
    <r>
      <rPr>
        <sz val="9"/>
        <rFont val="Noto Sans CJK SC"/>
        <charset val="1"/>
      </rPr>
      <t>对齐，用“里程碑跟踪”页做供应商履约与付款控制。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</si>
</sst>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7">
    <font>
      <sz val="11"/>
      <color theme="1"/>
      <name val="Calibri"/>
      <charset val="1"/>
    </font>
    <font>
      <b/>
      <sz val="12"/>
      <color rgb="FFFFFFFF"/>
      <name val="Noto Sans CJK SC"/>
      <charset val="134"/>
    </font>
    <font>
      <b/>
      <sz val="10"/>
      <color rgb="FFFFFFFF"/>
      <name val="Noto Sans CJK SC"/>
      <charset val="134"/>
    </font>
    <font>
      <b/>
      <sz val="9"/>
      <name val="Noto Sans CJK SC"/>
      <charset val="134"/>
    </font>
    <font>
      <sz val="9"/>
      <name val="Noto Sans CJK SC"/>
      <charset val="134"/>
    </font>
    <font>
      <b/>
      <sz val="9"/>
      <name val="Arial"/>
      <charset val="1"/>
    </font>
    <font>
      <b/>
      <sz val="11"/>
      <color rgb="FFFFFFFF"/>
      <name val="Noto Sans CJK SC"/>
      <charset val="134"/>
    </font>
    <font>
      <sz val="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Noto Sans CJK SC"/>
      <charset val="134"/>
    </font>
    <font>
      <b/>
      <sz val="9"/>
      <color rgb="FFFFFFFF"/>
      <name val="Noto Sans CJK SC"/>
      <charset val="134"/>
    </font>
    <font>
      <b/>
      <sz val="9"/>
      <color rgb="FFFFFFFF"/>
      <name val="Arial"/>
      <charset val="1"/>
    </font>
    <font>
      <i/>
      <sz val="9"/>
      <color rgb="FF7F7F7F"/>
      <name val="Arial"/>
      <charset val="1"/>
    </font>
    <font>
      <i/>
      <sz val="9"/>
      <color rgb="FF7F7F7F"/>
      <name val="Noto Sans CJK SC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Noto Sans CJK SC"/>
      <charset val="1"/>
    </font>
  </fonts>
  <fills count="4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E8F1DC"/>
        <bgColor rgb="FFEDEDED"/>
      </patternFill>
    </fill>
    <fill>
      <patternFill patternType="solid">
        <fgColor rgb="FFEDEDED"/>
        <bgColor rgb="FFE8F1DC"/>
      </patternFill>
    </fill>
    <fill>
      <patternFill patternType="solid">
        <fgColor rgb="FFFFF2CC"/>
        <bgColor rgb="FFFFF9E6"/>
      </patternFill>
    </fill>
    <fill>
      <patternFill patternType="solid">
        <fgColor rgb="FFDCE6F1"/>
        <bgColor rgb="FFEDEDED"/>
      </patternFill>
    </fill>
    <fill>
      <patternFill patternType="solid">
        <fgColor rgb="FFFFF9E6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Border="0" applyAlignment="0" applyProtection="0"/>
    <xf numFmtId="44" fontId="15" fillId="0" borderId="0" applyBorder="0" applyAlignment="0" applyProtection="0"/>
    <xf numFmtId="9" fontId="15" fillId="0" borderId="0" applyBorder="0" applyAlignment="0" applyProtection="0"/>
    <xf numFmtId="41" fontId="15" fillId="0" borderId="0" applyBorder="0" applyAlignment="0" applyProtection="0"/>
    <xf numFmtId="42" fontId="15" fillId="0" borderId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0" borderId="6" applyNumberFormat="0" applyAlignment="0" applyProtection="0">
      <alignment vertical="center"/>
    </xf>
    <xf numFmtId="0" fontId="26" fillId="11" borderId="7" applyNumberFormat="0" applyAlignment="0" applyProtection="0">
      <alignment vertical="center"/>
    </xf>
    <xf numFmtId="0" fontId="27" fillId="11" borderId="6" applyNumberFormat="0" applyAlignment="0" applyProtection="0">
      <alignment vertical="center"/>
    </xf>
    <xf numFmtId="0" fontId="28" fillId="12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76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/>
    </xf>
    <xf numFmtId="176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 indent="2"/>
    </xf>
    <xf numFmtId="176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 indent="4"/>
    </xf>
    <xf numFmtId="0" fontId="7" fillId="0" borderId="1" xfId="0" applyFont="1" applyBorder="1" applyAlignment="1">
      <alignment horizontal="left" vertical="center" wrapText="1"/>
    </xf>
    <xf numFmtId="176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 indent="4"/>
    </xf>
    <xf numFmtId="0" fontId="5" fillId="7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left" vertical="center" wrapText="1"/>
    </xf>
    <xf numFmtId="176" fontId="13" fillId="8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3">
    <dxf>
      <font>
        <name val="Arial"/>
        <scheme val="none"/>
        <charset val="1"/>
        <family val="0"/>
        <b val="1"/>
        <sz val="9"/>
        <color rgb="FFC00000"/>
      </font>
    </dxf>
    <dxf>
      <font>
        <name val="Arial"/>
        <scheme val="none"/>
        <charset val="1"/>
        <family val="0"/>
        <b val="1"/>
        <sz val="9"/>
        <color rgb="FF9C0006"/>
      </font>
      <fill>
        <patternFill patternType="solid">
          <bgColor rgb="FFFFC7CE"/>
        </patternFill>
      </fill>
    </dxf>
    <dxf>
      <font>
        <name val="Arial"/>
        <scheme val="none"/>
        <charset val="1"/>
        <family val="0"/>
        <sz val="9"/>
        <color rgb="FF006100"/>
      </font>
      <fill>
        <patternFill patternType="solid">
          <bgColor rgb="FFC6EFCE"/>
        </patternFill>
      </fill>
    </dxf>
    <dxf>
      <font>
        <name val="Arial"/>
        <scheme val="none"/>
        <charset val="1"/>
        <family val="0"/>
        <sz val="9"/>
        <color rgb="FF9C6500"/>
      </font>
      <fill>
        <patternFill patternType="solid">
          <bgColor rgb="FFFFEB9C"/>
        </patternFill>
      </fill>
    </dxf>
    <dxf>
      <font>
        <name val="Arial"/>
        <scheme val="none"/>
        <charset val="1"/>
        <family val="0"/>
        <b val="1"/>
        <sz val="10"/>
        <color rgb="FF9C0006"/>
      </font>
      <fill>
        <patternFill patternType="solid">
          <bgColor rgb="FFFFC7CE"/>
        </patternFill>
      </fill>
    </dxf>
    <dxf>
      <font>
        <name val="Arial"/>
        <scheme val="none"/>
        <charset val="1"/>
        <family val="0"/>
        <sz val="10"/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806000"/>
      <rgbColor rgb="00800080"/>
      <rgbColor rgb="00008080"/>
      <rgbColor rgb="00BFBFBF"/>
      <rgbColor rgb="007F7F7F"/>
      <rgbColor rgb="009999FF"/>
      <rgbColor rgb="00993366"/>
      <rgbColor rgb="00FFF9E6"/>
      <rgbColor rgb="00DCE6F1"/>
      <rgbColor rgb="00660066"/>
      <rgbColor rgb="00FF8080"/>
      <rgbColor rgb="000066CC"/>
      <rgbColor rgb="00EDEDE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8F1DC"/>
      <rgbColor rgb="00C6EFCE"/>
      <rgbColor rgb="00FFEB9C"/>
      <rgbColor rgb="00FFF2CC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C6500"/>
      <rgbColor rgb="00993366"/>
      <rgbColor rgb="002E5496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5"/>
  <sheetViews>
    <sheetView tabSelected="1" zoomScale="90" zoomScaleNormal="90" workbookViewId="0">
      <pane xSplit="3" ySplit="1" topLeftCell="D63" activePane="bottomRight" state="frozen"/>
      <selection/>
      <selection pane="topRight"/>
      <selection pane="bottomLeft"/>
      <selection pane="bottomRight" activeCell="A1" sqref="A1:P1"/>
    </sheetView>
  </sheetViews>
  <sheetFormatPr defaultColWidth="8.6796875" defaultRowHeight="16.8"/>
  <cols>
    <col min="1" max="1" width="12" customWidth="1"/>
    <col min="2" max="2" width="11" customWidth="1"/>
    <col min="3" max="3" width="22.1328125" customWidth="1"/>
    <col min="4" max="4" width="40.7890625" customWidth="1"/>
    <col min="5" max="5" width="22.421875" customWidth="1"/>
    <col min="6" max="6" width="10" customWidth="1"/>
    <col min="7" max="7" width="8" customWidth="1"/>
    <col min="8" max="8" width="14" customWidth="1"/>
    <col min="9" max="13" width="11" customWidth="1"/>
    <col min="14" max="14" width="9" customWidth="1"/>
    <col min="15" max="15" width="10" customWidth="1"/>
    <col min="16" max="16" width="16" customWidth="1"/>
  </cols>
  <sheetData>
    <row r="1" ht="33.75" customHeight="1" spans="1:16">
      <c r="A1" s="20" t="s">
        <v>0</v>
      </c>
      <c r="B1" s="21" t="s">
        <v>1</v>
      </c>
      <c r="C1" s="20" t="s">
        <v>2</v>
      </c>
      <c r="D1" s="21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</row>
    <row r="2" spans="1:16">
      <c r="A2" s="22" t="s">
        <v>16</v>
      </c>
      <c r="B2" s="22" t="s">
        <v>17</v>
      </c>
      <c r="C2" s="23" t="s">
        <v>18</v>
      </c>
      <c r="D2" s="24" t="s">
        <v>19</v>
      </c>
      <c r="E2" s="24" t="s">
        <v>20</v>
      </c>
      <c r="F2" s="22"/>
      <c r="G2" s="25" t="s">
        <v>21</v>
      </c>
      <c r="H2" s="22"/>
      <c r="I2" s="26"/>
      <c r="J2" s="26"/>
      <c r="K2" s="26"/>
      <c r="L2" s="26"/>
      <c r="M2" s="22" t="str">
        <f t="shared" ref="M2:M65" si="0">IFERROR(IF(OR(J2="",L2=""),"",L2-J2),"")</f>
        <v/>
      </c>
      <c r="N2" s="22"/>
      <c r="O2" s="25" t="str">
        <f ca="1" t="shared" ref="O2:O65" si="1">IF(N2=100,"已完成",IF(AND(N2=0,J2&lt;&gt;"",TODAY()&gt;J2),"已延期",IF(N2=0,"未开始",IF(AND(J2&lt;&gt;"",TODAY()&gt;J2),"已延期","进行中"))))</f>
        <v>未开始</v>
      </c>
      <c r="P2" s="27"/>
    </row>
    <row r="3" spans="1:16">
      <c r="A3" s="28" t="s">
        <v>22</v>
      </c>
      <c r="B3" s="28" t="s">
        <v>23</v>
      </c>
      <c r="C3" s="29" t="s">
        <v>24</v>
      </c>
      <c r="D3" s="9" t="s">
        <v>25</v>
      </c>
      <c r="E3" s="9" t="s">
        <v>26</v>
      </c>
      <c r="F3" s="28"/>
      <c r="G3" s="8" t="s">
        <v>21</v>
      </c>
      <c r="H3" s="28"/>
      <c r="I3" s="30"/>
      <c r="J3" s="30"/>
      <c r="K3" s="30"/>
      <c r="L3" s="30"/>
      <c r="M3" s="28" t="str">
        <f t="shared" si="0"/>
        <v/>
      </c>
      <c r="N3" s="28"/>
      <c r="O3" s="8" t="str">
        <f ca="1" t="shared" si="1"/>
        <v>未开始</v>
      </c>
      <c r="P3" s="31"/>
    </row>
    <row r="4" spans="1:16">
      <c r="A4" s="32" t="s">
        <v>22</v>
      </c>
      <c r="B4" s="32" t="s">
        <v>27</v>
      </c>
      <c r="C4" s="33" t="s">
        <v>28</v>
      </c>
      <c r="D4" s="5" t="s">
        <v>29</v>
      </c>
      <c r="E4" s="34" t="s">
        <v>30</v>
      </c>
      <c r="F4" s="32"/>
      <c r="G4" s="4" t="s">
        <v>21</v>
      </c>
      <c r="H4" s="32"/>
      <c r="I4" s="35"/>
      <c r="J4" s="35"/>
      <c r="K4" s="35"/>
      <c r="L4" s="35"/>
      <c r="M4" s="32" t="str">
        <f t="shared" si="0"/>
        <v/>
      </c>
      <c r="N4" s="32"/>
      <c r="O4" s="4" t="str">
        <f ca="1" t="shared" si="1"/>
        <v>未开始</v>
      </c>
      <c r="P4" s="36"/>
    </row>
    <row r="5" spans="1:16">
      <c r="A5" s="32" t="s">
        <v>22</v>
      </c>
      <c r="B5" s="32" t="s">
        <v>31</v>
      </c>
      <c r="C5" s="33" t="s">
        <v>32</v>
      </c>
      <c r="D5" s="34" t="s">
        <v>33</v>
      </c>
      <c r="E5" s="5" t="s">
        <v>34</v>
      </c>
      <c r="F5" s="32"/>
      <c r="G5" s="4" t="s">
        <v>21</v>
      </c>
      <c r="H5" s="32" t="s">
        <v>27</v>
      </c>
      <c r="I5" s="35"/>
      <c r="J5" s="35"/>
      <c r="K5" s="35"/>
      <c r="L5" s="35"/>
      <c r="M5" s="32" t="str">
        <f t="shared" si="0"/>
        <v/>
      </c>
      <c r="N5" s="32"/>
      <c r="O5" s="4" t="str">
        <f ca="1" t="shared" si="1"/>
        <v>未开始</v>
      </c>
      <c r="P5" s="36"/>
    </row>
    <row r="6" spans="1:16">
      <c r="A6" s="32" t="s">
        <v>22</v>
      </c>
      <c r="B6" s="32" t="s">
        <v>35</v>
      </c>
      <c r="C6" s="33" t="s">
        <v>36</v>
      </c>
      <c r="D6" s="5" t="s">
        <v>37</v>
      </c>
      <c r="E6" s="5" t="s">
        <v>38</v>
      </c>
      <c r="F6" s="32"/>
      <c r="G6" s="4" t="s">
        <v>39</v>
      </c>
      <c r="H6" s="32" t="s">
        <v>31</v>
      </c>
      <c r="I6" s="35"/>
      <c r="J6" s="35"/>
      <c r="K6" s="35"/>
      <c r="L6" s="35"/>
      <c r="M6" s="32" t="str">
        <f t="shared" si="0"/>
        <v/>
      </c>
      <c r="N6" s="32"/>
      <c r="O6" s="4" t="str">
        <f ca="1" t="shared" si="1"/>
        <v>未开始</v>
      </c>
      <c r="P6" s="36"/>
    </row>
    <row r="7" spans="1:16">
      <c r="A7" s="28" t="s">
        <v>22</v>
      </c>
      <c r="B7" s="28" t="s">
        <v>40</v>
      </c>
      <c r="C7" s="29" t="s">
        <v>41</v>
      </c>
      <c r="D7" s="9" t="s">
        <v>42</v>
      </c>
      <c r="E7" s="9" t="s">
        <v>43</v>
      </c>
      <c r="F7" s="28"/>
      <c r="G7" s="8" t="s">
        <v>21</v>
      </c>
      <c r="H7" s="28" t="s">
        <v>35</v>
      </c>
      <c r="I7" s="30"/>
      <c r="J7" s="30"/>
      <c r="K7" s="30"/>
      <c r="L7" s="30"/>
      <c r="M7" s="28" t="str">
        <f t="shared" si="0"/>
        <v/>
      </c>
      <c r="N7" s="28"/>
      <c r="O7" s="8" t="str">
        <f ca="1" t="shared" si="1"/>
        <v>未开始</v>
      </c>
      <c r="P7" s="31"/>
    </row>
    <row r="8" spans="1:16">
      <c r="A8" s="32" t="s">
        <v>22</v>
      </c>
      <c r="B8" s="32" t="s">
        <v>44</v>
      </c>
      <c r="C8" s="33" t="s">
        <v>45</v>
      </c>
      <c r="D8" s="5" t="s">
        <v>46</v>
      </c>
      <c r="E8" s="5" t="s">
        <v>47</v>
      </c>
      <c r="F8" s="32"/>
      <c r="G8" s="4" t="s">
        <v>21</v>
      </c>
      <c r="H8" s="32"/>
      <c r="I8" s="35"/>
      <c r="J8" s="35"/>
      <c r="K8" s="35"/>
      <c r="L8" s="35"/>
      <c r="M8" s="32" t="str">
        <f t="shared" si="0"/>
        <v/>
      </c>
      <c r="N8" s="32"/>
      <c r="O8" s="4" t="str">
        <f ca="1" t="shared" si="1"/>
        <v>未开始</v>
      </c>
      <c r="P8" s="36"/>
    </row>
    <row r="9" spans="1:16">
      <c r="A9" s="32" t="s">
        <v>22</v>
      </c>
      <c r="B9" s="32" t="s">
        <v>48</v>
      </c>
      <c r="C9" s="33" t="s">
        <v>49</v>
      </c>
      <c r="D9" s="5" t="s">
        <v>50</v>
      </c>
      <c r="E9" s="5" t="s">
        <v>51</v>
      </c>
      <c r="F9" s="32"/>
      <c r="G9" s="4" t="s">
        <v>21</v>
      </c>
      <c r="H9" s="32" t="s">
        <v>44</v>
      </c>
      <c r="I9" s="35"/>
      <c r="J9" s="35"/>
      <c r="K9" s="35"/>
      <c r="L9" s="35"/>
      <c r="M9" s="32" t="str">
        <f t="shared" si="0"/>
        <v/>
      </c>
      <c r="N9" s="32"/>
      <c r="O9" s="4" t="str">
        <f ca="1" t="shared" si="1"/>
        <v>未开始</v>
      </c>
      <c r="P9" s="36"/>
    </row>
    <row r="10" spans="1:16">
      <c r="A10" s="32" t="s">
        <v>22</v>
      </c>
      <c r="B10" s="32" t="s">
        <v>52</v>
      </c>
      <c r="C10" s="33" t="s">
        <v>53</v>
      </c>
      <c r="D10" s="5" t="s">
        <v>54</v>
      </c>
      <c r="E10" s="5" t="s">
        <v>55</v>
      </c>
      <c r="F10" s="32"/>
      <c r="G10" s="4" t="s">
        <v>39</v>
      </c>
      <c r="H10" s="32" t="s">
        <v>48</v>
      </c>
      <c r="I10" s="35"/>
      <c r="J10" s="35"/>
      <c r="K10" s="35"/>
      <c r="L10" s="35"/>
      <c r="M10" s="32" t="str">
        <f t="shared" si="0"/>
        <v/>
      </c>
      <c r="N10" s="32"/>
      <c r="O10" s="4" t="str">
        <f ca="1" t="shared" si="1"/>
        <v>未开始</v>
      </c>
      <c r="P10" s="36"/>
    </row>
    <row r="11" spans="1:16">
      <c r="A11" s="22" t="s">
        <v>56</v>
      </c>
      <c r="B11" s="22" t="s">
        <v>57</v>
      </c>
      <c r="C11" s="23" t="s">
        <v>58</v>
      </c>
      <c r="D11" s="24" t="s">
        <v>59</v>
      </c>
      <c r="E11" s="24" t="s">
        <v>60</v>
      </c>
      <c r="F11" s="22"/>
      <c r="G11" s="25" t="s">
        <v>21</v>
      </c>
      <c r="H11" s="22" t="s">
        <v>35</v>
      </c>
      <c r="I11" s="26"/>
      <c r="J11" s="26"/>
      <c r="K11" s="26"/>
      <c r="L11" s="26"/>
      <c r="M11" s="22" t="str">
        <f t="shared" si="0"/>
        <v/>
      </c>
      <c r="N11" s="22"/>
      <c r="O11" s="25" t="str">
        <f ca="1" t="shared" si="1"/>
        <v>未开始</v>
      </c>
      <c r="P11" s="27"/>
    </row>
    <row r="12" spans="1:16">
      <c r="A12" s="28" t="s">
        <v>61</v>
      </c>
      <c r="B12" s="28" t="s">
        <v>62</v>
      </c>
      <c r="C12" s="29" t="s">
        <v>63</v>
      </c>
      <c r="D12" s="9" t="s">
        <v>64</v>
      </c>
      <c r="E12" s="37" t="s">
        <v>65</v>
      </c>
      <c r="F12" s="28"/>
      <c r="G12" s="8" t="s">
        <v>21</v>
      </c>
      <c r="H12" s="28"/>
      <c r="I12" s="30"/>
      <c r="J12" s="30"/>
      <c r="K12" s="30"/>
      <c r="L12" s="30"/>
      <c r="M12" s="28" t="str">
        <f t="shared" si="0"/>
        <v/>
      </c>
      <c r="N12" s="28"/>
      <c r="O12" s="8" t="str">
        <f ca="1" t="shared" si="1"/>
        <v>未开始</v>
      </c>
      <c r="P12" s="31"/>
    </row>
    <row r="13" spans="1:16">
      <c r="A13" s="32" t="s">
        <v>61</v>
      </c>
      <c r="B13" s="32" t="s">
        <v>66</v>
      </c>
      <c r="C13" s="33" t="s">
        <v>67</v>
      </c>
      <c r="D13" s="5" t="s">
        <v>68</v>
      </c>
      <c r="E13" s="34" t="s">
        <v>69</v>
      </c>
      <c r="F13" s="32"/>
      <c r="G13" s="4" t="s">
        <v>21</v>
      </c>
      <c r="H13" s="32"/>
      <c r="I13" s="35"/>
      <c r="J13" s="35"/>
      <c r="K13" s="35"/>
      <c r="L13" s="35"/>
      <c r="M13" s="32" t="str">
        <f t="shared" si="0"/>
        <v/>
      </c>
      <c r="N13" s="32"/>
      <c r="O13" s="4" t="str">
        <f ca="1" t="shared" si="1"/>
        <v>未开始</v>
      </c>
      <c r="P13" s="36"/>
    </row>
    <row r="14" spans="1:16">
      <c r="A14" s="32" t="s">
        <v>61</v>
      </c>
      <c r="B14" s="32" t="s">
        <v>70</v>
      </c>
      <c r="C14" s="38" t="s">
        <v>71</v>
      </c>
      <c r="D14" s="5" t="s">
        <v>72</v>
      </c>
      <c r="E14" s="34" t="s">
        <v>73</v>
      </c>
      <c r="F14" s="32"/>
      <c r="G14" s="4" t="s">
        <v>21</v>
      </c>
      <c r="H14" s="32" t="s">
        <v>66</v>
      </c>
      <c r="I14" s="35"/>
      <c r="J14" s="35"/>
      <c r="K14" s="35"/>
      <c r="L14" s="35"/>
      <c r="M14" s="32" t="str">
        <f t="shared" si="0"/>
        <v/>
      </c>
      <c r="N14" s="32"/>
      <c r="O14" s="4" t="str">
        <f ca="1" t="shared" si="1"/>
        <v>未开始</v>
      </c>
      <c r="P14" s="36"/>
    </row>
    <row r="15" spans="1:16">
      <c r="A15" s="28" t="s">
        <v>61</v>
      </c>
      <c r="B15" s="28" t="s">
        <v>74</v>
      </c>
      <c r="C15" s="29" t="s">
        <v>75</v>
      </c>
      <c r="D15" s="9" t="s">
        <v>76</v>
      </c>
      <c r="E15" s="9" t="s">
        <v>77</v>
      </c>
      <c r="F15" s="28"/>
      <c r="G15" s="8" t="s">
        <v>21</v>
      </c>
      <c r="H15" s="28" t="s">
        <v>70</v>
      </c>
      <c r="I15" s="30"/>
      <c r="J15" s="30"/>
      <c r="K15" s="30"/>
      <c r="L15" s="30"/>
      <c r="M15" s="28" t="str">
        <f t="shared" si="0"/>
        <v/>
      </c>
      <c r="N15" s="28"/>
      <c r="O15" s="8" t="str">
        <f ca="1" t="shared" si="1"/>
        <v>未开始</v>
      </c>
      <c r="P15" s="31"/>
    </row>
    <row r="16" spans="1:16">
      <c r="A16" s="32" t="s">
        <v>61</v>
      </c>
      <c r="B16" s="32" t="s">
        <v>78</v>
      </c>
      <c r="C16" s="33" t="s">
        <v>79</v>
      </c>
      <c r="D16" s="5" t="s">
        <v>80</v>
      </c>
      <c r="E16" s="5" t="s">
        <v>81</v>
      </c>
      <c r="F16" s="32"/>
      <c r="G16" s="4" t="s">
        <v>21</v>
      </c>
      <c r="H16" s="32"/>
      <c r="I16" s="35"/>
      <c r="J16" s="35"/>
      <c r="K16" s="35"/>
      <c r="L16" s="35"/>
      <c r="M16" s="32" t="str">
        <f t="shared" si="0"/>
        <v/>
      </c>
      <c r="N16" s="32"/>
      <c r="O16" s="4" t="str">
        <f ca="1" t="shared" si="1"/>
        <v>未开始</v>
      </c>
      <c r="P16" s="36"/>
    </row>
    <row r="17" spans="1:16">
      <c r="A17" s="32" t="s">
        <v>61</v>
      </c>
      <c r="B17" s="32" t="s">
        <v>82</v>
      </c>
      <c r="C17" s="38" t="s">
        <v>83</v>
      </c>
      <c r="D17" s="5" t="s">
        <v>84</v>
      </c>
      <c r="E17" s="34" t="s">
        <v>85</v>
      </c>
      <c r="F17" s="32"/>
      <c r="G17" s="4" t="s">
        <v>21</v>
      </c>
      <c r="H17" s="32" t="s">
        <v>78</v>
      </c>
      <c r="I17" s="35"/>
      <c r="J17" s="35"/>
      <c r="K17" s="35"/>
      <c r="L17" s="35"/>
      <c r="M17" s="32" t="str">
        <f t="shared" si="0"/>
        <v/>
      </c>
      <c r="N17" s="32"/>
      <c r="O17" s="4" t="str">
        <f ca="1" t="shared" si="1"/>
        <v>未开始</v>
      </c>
      <c r="P17" s="36"/>
    </row>
    <row r="18" spans="1:16">
      <c r="A18" s="32" t="s">
        <v>61</v>
      </c>
      <c r="B18" s="32" t="s">
        <v>86</v>
      </c>
      <c r="C18" s="33" t="s">
        <v>87</v>
      </c>
      <c r="D18" s="5" t="s">
        <v>88</v>
      </c>
      <c r="E18" s="5" t="s">
        <v>89</v>
      </c>
      <c r="F18" s="32"/>
      <c r="G18" s="4" t="s">
        <v>39</v>
      </c>
      <c r="H18" s="32" t="s">
        <v>82</v>
      </c>
      <c r="I18" s="35"/>
      <c r="J18" s="35"/>
      <c r="K18" s="35"/>
      <c r="L18" s="35"/>
      <c r="M18" s="32" t="str">
        <f t="shared" si="0"/>
        <v/>
      </c>
      <c r="N18" s="32"/>
      <c r="O18" s="4" t="str">
        <f ca="1" t="shared" si="1"/>
        <v>未开始</v>
      </c>
      <c r="P18" s="36"/>
    </row>
    <row r="19" spans="1:16">
      <c r="A19" s="28" t="s">
        <v>61</v>
      </c>
      <c r="B19" s="28" t="s">
        <v>90</v>
      </c>
      <c r="C19" s="29" t="s">
        <v>91</v>
      </c>
      <c r="D19" s="9" t="s">
        <v>92</v>
      </c>
      <c r="E19" s="9" t="s">
        <v>93</v>
      </c>
      <c r="F19" s="28"/>
      <c r="G19" s="8" t="s">
        <v>21</v>
      </c>
      <c r="H19" s="28" t="s">
        <v>86</v>
      </c>
      <c r="I19" s="30"/>
      <c r="J19" s="30"/>
      <c r="K19" s="30"/>
      <c r="L19" s="30"/>
      <c r="M19" s="28" t="str">
        <f t="shared" si="0"/>
        <v/>
      </c>
      <c r="N19" s="28"/>
      <c r="O19" s="8" t="str">
        <f ca="1" t="shared" si="1"/>
        <v>未开始</v>
      </c>
      <c r="P19" s="31"/>
    </row>
    <row r="20" spans="1:16">
      <c r="A20" s="32" t="s">
        <v>61</v>
      </c>
      <c r="B20" s="32" t="s">
        <v>94</v>
      </c>
      <c r="C20" s="33" t="s">
        <v>95</v>
      </c>
      <c r="D20" s="5" t="s">
        <v>96</v>
      </c>
      <c r="E20" s="34" t="s">
        <v>97</v>
      </c>
      <c r="F20" s="32"/>
      <c r="G20" s="4" t="s">
        <v>21</v>
      </c>
      <c r="H20" s="32"/>
      <c r="I20" s="35"/>
      <c r="J20" s="35"/>
      <c r="K20" s="35"/>
      <c r="L20" s="35"/>
      <c r="M20" s="32" t="str">
        <f t="shared" si="0"/>
        <v/>
      </c>
      <c r="N20" s="32"/>
      <c r="O20" s="4" t="str">
        <f ca="1" t="shared" si="1"/>
        <v>未开始</v>
      </c>
      <c r="P20" s="36"/>
    </row>
    <row r="21" spans="1:16">
      <c r="A21" s="32" t="s">
        <v>61</v>
      </c>
      <c r="B21" s="32" t="s">
        <v>98</v>
      </c>
      <c r="C21" s="38" t="s">
        <v>99</v>
      </c>
      <c r="D21" s="5" t="s">
        <v>100</v>
      </c>
      <c r="E21" s="34" t="s">
        <v>101</v>
      </c>
      <c r="F21" s="32"/>
      <c r="G21" s="4" t="s">
        <v>21</v>
      </c>
      <c r="H21" s="32" t="s">
        <v>94</v>
      </c>
      <c r="I21" s="35"/>
      <c r="J21" s="35"/>
      <c r="K21" s="35"/>
      <c r="L21" s="35"/>
      <c r="M21" s="32" t="str">
        <f t="shared" si="0"/>
        <v/>
      </c>
      <c r="N21" s="32"/>
      <c r="O21" s="4" t="str">
        <f ca="1" t="shared" si="1"/>
        <v>未开始</v>
      </c>
      <c r="P21" s="36"/>
    </row>
    <row r="22" spans="1:16">
      <c r="A22" s="32" t="s">
        <v>61</v>
      </c>
      <c r="B22" s="32" t="s">
        <v>102</v>
      </c>
      <c r="C22" s="33" t="s">
        <v>93</v>
      </c>
      <c r="D22" s="5" t="s">
        <v>103</v>
      </c>
      <c r="E22" s="5" t="s">
        <v>104</v>
      </c>
      <c r="F22" s="32"/>
      <c r="G22" s="4" t="s">
        <v>39</v>
      </c>
      <c r="H22" s="32" t="s">
        <v>98</v>
      </c>
      <c r="I22" s="35"/>
      <c r="J22" s="35"/>
      <c r="K22" s="35"/>
      <c r="L22" s="35"/>
      <c r="M22" s="32" t="str">
        <f t="shared" si="0"/>
        <v/>
      </c>
      <c r="N22" s="32"/>
      <c r="O22" s="4" t="str">
        <f ca="1" t="shared" si="1"/>
        <v>未开始</v>
      </c>
      <c r="P22" s="36"/>
    </row>
    <row r="23" spans="1:16">
      <c r="A23" s="22" t="s">
        <v>105</v>
      </c>
      <c r="B23" s="22" t="s">
        <v>106</v>
      </c>
      <c r="C23" s="23" t="s">
        <v>107</v>
      </c>
      <c r="D23" s="24" t="s">
        <v>108</v>
      </c>
      <c r="E23" s="24" t="s">
        <v>109</v>
      </c>
      <c r="F23" s="22"/>
      <c r="G23" s="25" t="s">
        <v>21</v>
      </c>
      <c r="H23" s="22" t="s">
        <v>102</v>
      </c>
      <c r="I23" s="26"/>
      <c r="J23" s="26"/>
      <c r="K23" s="26"/>
      <c r="L23" s="26"/>
      <c r="M23" s="22" t="str">
        <f t="shared" si="0"/>
        <v/>
      </c>
      <c r="N23" s="22"/>
      <c r="O23" s="25" t="str">
        <f ca="1" t="shared" si="1"/>
        <v>未开始</v>
      </c>
      <c r="P23" s="27"/>
    </row>
    <row r="24" spans="1:16">
      <c r="A24" s="28" t="s">
        <v>110</v>
      </c>
      <c r="B24" s="28" t="s">
        <v>111</v>
      </c>
      <c r="C24" s="29" t="s">
        <v>112</v>
      </c>
      <c r="D24" s="9" t="s">
        <v>113</v>
      </c>
      <c r="E24" s="9" t="s">
        <v>114</v>
      </c>
      <c r="F24" s="28"/>
      <c r="G24" s="8" t="s">
        <v>21</v>
      </c>
      <c r="H24" s="28"/>
      <c r="I24" s="30"/>
      <c r="J24" s="30"/>
      <c r="K24" s="30"/>
      <c r="L24" s="30"/>
      <c r="M24" s="28" t="str">
        <f t="shared" si="0"/>
        <v/>
      </c>
      <c r="N24" s="28"/>
      <c r="O24" s="8" t="str">
        <f ca="1" t="shared" si="1"/>
        <v>未开始</v>
      </c>
      <c r="P24" s="31"/>
    </row>
    <row r="25" spans="1:16">
      <c r="A25" s="32" t="s">
        <v>110</v>
      </c>
      <c r="B25" s="32" t="s">
        <v>115</v>
      </c>
      <c r="C25" s="33" t="s">
        <v>116</v>
      </c>
      <c r="D25" s="5" t="s">
        <v>117</v>
      </c>
      <c r="E25" s="5" t="s">
        <v>118</v>
      </c>
      <c r="F25" s="32"/>
      <c r="G25" s="4" t="s">
        <v>21</v>
      </c>
      <c r="H25" s="32"/>
      <c r="I25" s="35"/>
      <c r="J25" s="35"/>
      <c r="K25" s="35"/>
      <c r="L25" s="35"/>
      <c r="M25" s="32" t="str">
        <f t="shared" si="0"/>
        <v/>
      </c>
      <c r="N25" s="32"/>
      <c r="O25" s="4" t="str">
        <f ca="1" t="shared" si="1"/>
        <v>未开始</v>
      </c>
      <c r="P25" s="36"/>
    </row>
    <row r="26" spans="1:16">
      <c r="A26" s="32" t="s">
        <v>110</v>
      </c>
      <c r="B26" s="32" t="s">
        <v>119</v>
      </c>
      <c r="C26" s="38" t="s">
        <v>120</v>
      </c>
      <c r="D26" s="5" t="s">
        <v>121</v>
      </c>
      <c r="E26" s="5" t="s">
        <v>122</v>
      </c>
      <c r="F26" s="32"/>
      <c r="G26" s="4" t="s">
        <v>21</v>
      </c>
      <c r="H26" s="32" t="s">
        <v>115</v>
      </c>
      <c r="I26" s="35"/>
      <c r="J26" s="35"/>
      <c r="K26" s="35"/>
      <c r="L26" s="35"/>
      <c r="M26" s="32" t="str">
        <f t="shared" si="0"/>
        <v/>
      </c>
      <c r="N26" s="32"/>
      <c r="O26" s="4" t="str">
        <f ca="1" t="shared" si="1"/>
        <v>未开始</v>
      </c>
      <c r="P26" s="36"/>
    </row>
    <row r="27" spans="1:16">
      <c r="A27" s="32" t="s">
        <v>110</v>
      </c>
      <c r="B27" s="32" t="s">
        <v>123</v>
      </c>
      <c r="C27" s="33" t="s">
        <v>124</v>
      </c>
      <c r="D27" s="5" t="s">
        <v>125</v>
      </c>
      <c r="E27" s="5" t="s">
        <v>126</v>
      </c>
      <c r="F27" s="32"/>
      <c r="G27" s="4" t="s">
        <v>39</v>
      </c>
      <c r="H27" s="32" t="s">
        <v>119</v>
      </c>
      <c r="I27" s="35"/>
      <c r="J27" s="35"/>
      <c r="K27" s="35"/>
      <c r="L27" s="35"/>
      <c r="M27" s="32" t="str">
        <f t="shared" si="0"/>
        <v/>
      </c>
      <c r="N27" s="32"/>
      <c r="O27" s="4" t="str">
        <f ca="1" t="shared" si="1"/>
        <v>未开始</v>
      </c>
      <c r="P27" s="36"/>
    </row>
    <row r="28" spans="1:16">
      <c r="A28" s="28" t="s">
        <v>110</v>
      </c>
      <c r="B28" s="28" t="s">
        <v>127</v>
      </c>
      <c r="C28" s="29" t="s">
        <v>128</v>
      </c>
      <c r="D28" s="9" t="s">
        <v>129</v>
      </c>
      <c r="E28" s="9" t="s">
        <v>130</v>
      </c>
      <c r="F28" s="28"/>
      <c r="G28" s="8" t="s">
        <v>21</v>
      </c>
      <c r="H28" s="28" t="s">
        <v>123</v>
      </c>
      <c r="I28" s="30"/>
      <c r="J28" s="30"/>
      <c r="K28" s="30"/>
      <c r="L28" s="30"/>
      <c r="M28" s="28" t="str">
        <f t="shared" si="0"/>
        <v/>
      </c>
      <c r="N28" s="28"/>
      <c r="O28" s="8" t="str">
        <f ca="1" t="shared" si="1"/>
        <v>未开始</v>
      </c>
      <c r="P28" s="31"/>
    </row>
    <row r="29" spans="1:16">
      <c r="A29" s="32" t="s">
        <v>110</v>
      </c>
      <c r="B29" s="32" t="s">
        <v>131</v>
      </c>
      <c r="C29" s="38" t="s">
        <v>132</v>
      </c>
      <c r="D29" s="5" t="s">
        <v>133</v>
      </c>
      <c r="E29" s="34" t="s">
        <v>134</v>
      </c>
      <c r="F29" s="32"/>
      <c r="G29" s="4" t="s">
        <v>21</v>
      </c>
      <c r="H29" s="32"/>
      <c r="I29" s="35"/>
      <c r="J29" s="35"/>
      <c r="K29" s="35"/>
      <c r="L29" s="35"/>
      <c r="M29" s="32" t="str">
        <f t="shared" si="0"/>
        <v/>
      </c>
      <c r="N29" s="32"/>
      <c r="O29" s="4" t="str">
        <f ca="1" t="shared" si="1"/>
        <v>未开始</v>
      </c>
      <c r="P29" s="36"/>
    </row>
    <row r="30" spans="1:16">
      <c r="A30" s="32" t="s">
        <v>110</v>
      </c>
      <c r="B30" s="32" t="s">
        <v>135</v>
      </c>
      <c r="C30" s="33" t="s">
        <v>136</v>
      </c>
      <c r="D30" s="5" t="s">
        <v>137</v>
      </c>
      <c r="E30" s="5" t="s">
        <v>138</v>
      </c>
      <c r="F30" s="32"/>
      <c r="G30" s="4" t="s">
        <v>21</v>
      </c>
      <c r="H30" s="32" t="s">
        <v>131</v>
      </c>
      <c r="I30" s="35"/>
      <c r="J30" s="35"/>
      <c r="K30" s="35"/>
      <c r="L30" s="35"/>
      <c r="M30" s="32" t="str">
        <f t="shared" si="0"/>
        <v/>
      </c>
      <c r="N30" s="32"/>
      <c r="O30" s="4" t="str">
        <f ca="1" t="shared" si="1"/>
        <v>未开始</v>
      </c>
      <c r="P30" s="36"/>
    </row>
    <row r="31" spans="1:16">
      <c r="A31" s="28" t="s">
        <v>110</v>
      </c>
      <c r="B31" s="28" t="s">
        <v>139</v>
      </c>
      <c r="C31" s="29" t="s">
        <v>140</v>
      </c>
      <c r="D31" s="9" t="s">
        <v>141</v>
      </c>
      <c r="E31" s="9" t="s">
        <v>142</v>
      </c>
      <c r="F31" s="28"/>
      <c r="G31" s="8" t="s">
        <v>21</v>
      </c>
      <c r="H31" s="28" t="s">
        <v>123</v>
      </c>
      <c r="I31" s="30"/>
      <c r="J31" s="30"/>
      <c r="K31" s="30"/>
      <c r="L31" s="30"/>
      <c r="M31" s="28" t="str">
        <f t="shared" si="0"/>
        <v/>
      </c>
      <c r="N31" s="28"/>
      <c r="O31" s="8" t="str">
        <f ca="1" t="shared" si="1"/>
        <v>未开始</v>
      </c>
      <c r="P31" s="31"/>
    </row>
    <row r="32" spans="1:16">
      <c r="A32" s="32" t="s">
        <v>110</v>
      </c>
      <c r="B32" s="32" t="s">
        <v>143</v>
      </c>
      <c r="C32" s="33" t="s">
        <v>144</v>
      </c>
      <c r="D32" s="5" t="s">
        <v>145</v>
      </c>
      <c r="E32" s="5" t="s">
        <v>146</v>
      </c>
      <c r="F32" s="32"/>
      <c r="G32" s="4" t="s">
        <v>21</v>
      </c>
      <c r="H32" s="32"/>
      <c r="I32" s="35"/>
      <c r="J32" s="35"/>
      <c r="K32" s="35"/>
      <c r="L32" s="35"/>
      <c r="M32" s="32" t="str">
        <f t="shared" si="0"/>
        <v/>
      </c>
      <c r="N32" s="32"/>
      <c r="O32" s="4" t="str">
        <f ca="1" t="shared" si="1"/>
        <v>未开始</v>
      </c>
      <c r="P32" s="36"/>
    </row>
    <row r="33" spans="1:16">
      <c r="A33" s="32" t="s">
        <v>110</v>
      </c>
      <c r="B33" s="32" t="s">
        <v>147</v>
      </c>
      <c r="C33" s="33" t="s">
        <v>148</v>
      </c>
      <c r="D33" s="5" t="s">
        <v>149</v>
      </c>
      <c r="E33" s="5" t="s">
        <v>150</v>
      </c>
      <c r="F33" s="32"/>
      <c r="G33" s="4" t="s">
        <v>21</v>
      </c>
      <c r="H33" s="32" t="s">
        <v>143</v>
      </c>
      <c r="I33" s="35"/>
      <c r="J33" s="35"/>
      <c r="K33" s="35"/>
      <c r="L33" s="35"/>
      <c r="M33" s="32" t="str">
        <f t="shared" si="0"/>
        <v/>
      </c>
      <c r="N33" s="32"/>
      <c r="O33" s="4" t="str">
        <f ca="1" t="shared" si="1"/>
        <v>未开始</v>
      </c>
      <c r="P33" s="36"/>
    </row>
    <row r="34" spans="1:16">
      <c r="A34" s="32" t="s">
        <v>110</v>
      </c>
      <c r="B34" s="32" t="s">
        <v>151</v>
      </c>
      <c r="C34" s="33" t="s">
        <v>152</v>
      </c>
      <c r="D34" s="5" t="s">
        <v>153</v>
      </c>
      <c r="E34" s="5" t="s">
        <v>154</v>
      </c>
      <c r="F34" s="32"/>
      <c r="G34" s="4" t="s">
        <v>21</v>
      </c>
      <c r="H34" s="32" t="s">
        <v>143</v>
      </c>
      <c r="I34" s="35"/>
      <c r="J34" s="35"/>
      <c r="K34" s="35"/>
      <c r="L34" s="35"/>
      <c r="M34" s="32" t="str">
        <f t="shared" si="0"/>
        <v/>
      </c>
      <c r="N34" s="32"/>
      <c r="O34" s="4" t="str">
        <f ca="1" t="shared" si="1"/>
        <v>未开始</v>
      </c>
      <c r="P34" s="36"/>
    </row>
    <row r="35" spans="1:16">
      <c r="A35" s="22" t="s">
        <v>155</v>
      </c>
      <c r="B35" s="22" t="s">
        <v>156</v>
      </c>
      <c r="C35" s="23" t="s">
        <v>157</v>
      </c>
      <c r="D35" s="24" t="s">
        <v>158</v>
      </c>
      <c r="E35" s="24" t="s">
        <v>159</v>
      </c>
      <c r="F35" s="22"/>
      <c r="G35" s="25" t="s">
        <v>21</v>
      </c>
      <c r="H35" s="22" t="s">
        <v>135</v>
      </c>
      <c r="I35" s="26"/>
      <c r="J35" s="26"/>
      <c r="K35" s="26"/>
      <c r="L35" s="26"/>
      <c r="M35" s="22" t="str">
        <f t="shared" si="0"/>
        <v/>
      </c>
      <c r="N35" s="22"/>
      <c r="O35" s="25" t="str">
        <f ca="1" t="shared" si="1"/>
        <v>未开始</v>
      </c>
      <c r="P35" s="27"/>
    </row>
    <row r="36" spans="1:16">
      <c r="A36" s="28" t="s">
        <v>160</v>
      </c>
      <c r="B36" s="28" t="s">
        <v>161</v>
      </c>
      <c r="C36" s="29" t="s">
        <v>162</v>
      </c>
      <c r="D36" s="9" t="s">
        <v>163</v>
      </c>
      <c r="E36" s="9" t="s">
        <v>164</v>
      </c>
      <c r="F36" s="28"/>
      <c r="G36" s="8" t="s">
        <v>21</v>
      </c>
      <c r="H36" s="28"/>
      <c r="I36" s="30"/>
      <c r="J36" s="30"/>
      <c r="K36" s="30"/>
      <c r="L36" s="30"/>
      <c r="M36" s="28" t="str">
        <f t="shared" si="0"/>
        <v/>
      </c>
      <c r="N36" s="28"/>
      <c r="O36" s="8" t="str">
        <f ca="1" t="shared" si="1"/>
        <v>未开始</v>
      </c>
      <c r="P36" s="31"/>
    </row>
    <row r="37" spans="1:16">
      <c r="A37" s="32" t="s">
        <v>160</v>
      </c>
      <c r="B37" s="32" t="s">
        <v>165</v>
      </c>
      <c r="C37" s="33" t="s">
        <v>166</v>
      </c>
      <c r="D37" s="5" t="s">
        <v>167</v>
      </c>
      <c r="E37" s="5" t="s">
        <v>168</v>
      </c>
      <c r="F37" s="32"/>
      <c r="G37" s="4" t="s">
        <v>21</v>
      </c>
      <c r="H37" s="32"/>
      <c r="I37" s="35"/>
      <c r="J37" s="35"/>
      <c r="K37" s="35"/>
      <c r="L37" s="35"/>
      <c r="M37" s="32" t="str">
        <f t="shared" si="0"/>
        <v/>
      </c>
      <c r="N37" s="32"/>
      <c r="O37" s="4" t="str">
        <f ca="1" t="shared" si="1"/>
        <v>未开始</v>
      </c>
      <c r="P37" s="36"/>
    </row>
    <row r="38" spans="1:16">
      <c r="A38" s="32" t="s">
        <v>160</v>
      </c>
      <c r="B38" s="32" t="s">
        <v>169</v>
      </c>
      <c r="C38" s="33" t="s">
        <v>170</v>
      </c>
      <c r="D38" s="5" t="s">
        <v>171</v>
      </c>
      <c r="E38" s="5" t="s">
        <v>172</v>
      </c>
      <c r="F38" s="32"/>
      <c r="G38" s="4" t="s">
        <v>21</v>
      </c>
      <c r="H38" s="32" t="s">
        <v>165</v>
      </c>
      <c r="I38" s="35"/>
      <c r="J38" s="35"/>
      <c r="K38" s="35"/>
      <c r="L38" s="35"/>
      <c r="M38" s="32" t="str">
        <f t="shared" si="0"/>
        <v/>
      </c>
      <c r="N38" s="32"/>
      <c r="O38" s="4" t="str">
        <f ca="1" t="shared" si="1"/>
        <v>未开始</v>
      </c>
      <c r="P38" s="36"/>
    </row>
    <row r="39" spans="1:16">
      <c r="A39" s="32" t="s">
        <v>160</v>
      </c>
      <c r="B39" s="32" t="s">
        <v>173</v>
      </c>
      <c r="C39" s="33" t="s">
        <v>174</v>
      </c>
      <c r="D39" s="5" t="s">
        <v>175</v>
      </c>
      <c r="E39" s="5" t="s">
        <v>176</v>
      </c>
      <c r="F39" s="32"/>
      <c r="G39" s="4" t="s">
        <v>21</v>
      </c>
      <c r="H39" s="32" t="s">
        <v>169</v>
      </c>
      <c r="I39" s="35"/>
      <c r="J39" s="35"/>
      <c r="K39" s="35"/>
      <c r="L39" s="35"/>
      <c r="M39" s="32" t="str">
        <f t="shared" si="0"/>
        <v/>
      </c>
      <c r="N39" s="32"/>
      <c r="O39" s="4" t="str">
        <f ca="1" t="shared" si="1"/>
        <v>未开始</v>
      </c>
      <c r="P39" s="36"/>
    </row>
    <row r="40" spans="1:16">
      <c r="A40" s="28" t="s">
        <v>160</v>
      </c>
      <c r="B40" s="28" t="s">
        <v>177</v>
      </c>
      <c r="C40" s="29" t="s">
        <v>178</v>
      </c>
      <c r="D40" s="9" t="s">
        <v>179</v>
      </c>
      <c r="E40" s="9" t="s">
        <v>180</v>
      </c>
      <c r="F40" s="28"/>
      <c r="G40" s="8" t="s">
        <v>21</v>
      </c>
      <c r="H40" s="28" t="s">
        <v>169</v>
      </c>
      <c r="I40" s="30"/>
      <c r="J40" s="30"/>
      <c r="K40" s="30"/>
      <c r="L40" s="30"/>
      <c r="M40" s="28" t="str">
        <f t="shared" si="0"/>
        <v/>
      </c>
      <c r="N40" s="28"/>
      <c r="O40" s="8" t="str">
        <f ca="1" t="shared" si="1"/>
        <v>未开始</v>
      </c>
      <c r="P40" s="31"/>
    </row>
    <row r="41" spans="1:16">
      <c r="A41" s="32" t="s">
        <v>160</v>
      </c>
      <c r="B41" s="32" t="s">
        <v>181</v>
      </c>
      <c r="C41" s="33" t="s">
        <v>182</v>
      </c>
      <c r="D41" s="5" t="s">
        <v>183</v>
      </c>
      <c r="E41" s="5" t="s">
        <v>184</v>
      </c>
      <c r="F41" s="32"/>
      <c r="G41" s="4" t="s">
        <v>21</v>
      </c>
      <c r="H41" s="32"/>
      <c r="I41" s="35"/>
      <c r="J41" s="35"/>
      <c r="K41" s="35"/>
      <c r="L41" s="35"/>
      <c r="M41" s="32" t="str">
        <f t="shared" si="0"/>
        <v/>
      </c>
      <c r="N41" s="32"/>
      <c r="O41" s="4" t="str">
        <f ca="1" t="shared" si="1"/>
        <v>未开始</v>
      </c>
      <c r="P41" s="36"/>
    </row>
    <row r="42" spans="1:16">
      <c r="A42" s="32" t="s">
        <v>160</v>
      </c>
      <c r="B42" s="32" t="s">
        <v>185</v>
      </c>
      <c r="C42" s="33" t="s">
        <v>186</v>
      </c>
      <c r="D42" s="5" t="s">
        <v>187</v>
      </c>
      <c r="E42" s="5" t="s">
        <v>188</v>
      </c>
      <c r="F42" s="32"/>
      <c r="G42" s="4" t="s">
        <v>21</v>
      </c>
      <c r="H42" s="32" t="s">
        <v>181</v>
      </c>
      <c r="I42" s="35"/>
      <c r="J42" s="35"/>
      <c r="K42" s="35"/>
      <c r="L42" s="35"/>
      <c r="M42" s="32" t="str">
        <f t="shared" si="0"/>
        <v/>
      </c>
      <c r="N42" s="32"/>
      <c r="O42" s="4" t="str">
        <f ca="1" t="shared" si="1"/>
        <v>未开始</v>
      </c>
      <c r="P42" s="36"/>
    </row>
    <row r="43" spans="1:16">
      <c r="A43" s="32" t="s">
        <v>160</v>
      </c>
      <c r="B43" s="32" t="s">
        <v>189</v>
      </c>
      <c r="C43" s="33" t="s">
        <v>190</v>
      </c>
      <c r="D43" s="5" t="s">
        <v>191</v>
      </c>
      <c r="E43" s="5" t="s">
        <v>192</v>
      </c>
      <c r="F43" s="32"/>
      <c r="G43" s="4" t="s">
        <v>21</v>
      </c>
      <c r="H43" s="32" t="s">
        <v>185</v>
      </c>
      <c r="I43" s="35"/>
      <c r="J43" s="35"/>
      <c r="K43" s="35"/>
      <c r="L43" s="35"/>
      <c r="M43" s="32" t="str">
        <f t="shared" si="0"/>
        <v/>
      </c>
      <c r="N43" s="32"/>
      <c r="O43" s="4" t="str">
        <f ca="1" t="shared" si="1"/>
        <v>未开始</v>
      </c>
      <c r="P43" s="36"/>
    </row>
    <row r="44" spans="1:16">
      <c r="A44" s="32" t="s">
        <v>160</v>
      </c>
      <c r="B44" s="32" t="s">
        <v>193</v>
      </c>
      <c r="C44" s="33" t="s">
        <v>194</v>
      </c>
      <c r="D44" s="5" t="s">
        <v>195</v>
      </c>
      <c r="E44" s="5" t="s">
        <v>196</v>
      </c>
      <c r="F44" s="32"/>
      <c r="G44" s="4" t="s">
        <v>21</v>
      </c>
      <c r="H44" s="32" t="s">
        <v>181</v>
      </c>
      <c r="I44" s="35"/>
      <c r="J44" s="35"/>
      <c r="K44" s="35"/>
      <c r="L44" s="35"/>
      <c r="M44" s="32" t="str">
        <f t="shared" si="0"/>
        <v/>
      </c>
      <c r="N44" s="32"/>
      <c r="O44" s="4" t="str">
        <f ca="1" t="shared" si="1"/>
        <v>未开始</v>
      </c>
      <c r="P44" s="36"/>
    </row>
    <row r="45" spans="1:16">
      <c r="A45" s="28" t="s">
        <v>160</v>
      </c>
      <c r="B45" s="28" t="s">
        <v>197</v>
      </c>
      <c r="C45" s="29" t="s">
        <v>198</v>
      </c>
      <c r="D45" s="9" t="s">
        <v>199</v>
      </c>
      <c r="E45" s="9" t="s">
        <v>200</v>
      </c>
      <c r="F45" s="28"/>
      <c r="G45" s="8" t="s">
        <v>21</v>
      </c>
      <c r="H45" s="28" t="s">
        <v>169</v>
      </c>
      <c r="I45" s="30"/>
      <c r="J45" s="30"/>
      <c r="K45" s="30"/>
      <c r="L45" s="30"/>
      <c r="M45" s="28" t="str">
        <f t="shared" si="0"/>
        <v/>
      </c>
      <c r="N45" s="28"/>
      <c r="O45" s="8" t="str">
        <f ca="1" t="shared" si="1"/>
        <v>未开始</v>
      </c>
      <c r="P45" s="31"/>
    </row>
    <row r="46" spans="1:16">
      <c r="A46" s="32" t="s">
        <v>160</v>
      </c>
      <c r="B46" s="32" t="s">
        <v>201</v>
      </c>
      <c r="C46" s="33" t="s">
        <v>202</v>
      </c>
      <c r="D46" s="5" t="s">
        <v>203</v>
      </c>
      <c r="E46" s="5" t="s">
        <v>204</v>
      </c>
      <c r="F46" s="32"/>
      <c r="G46" s="4" t="s">
        <v>21</v>
      </c>
      <c r="H46" s="32"/>
      <c r="I46" s="35"/>
      <c r="J46" s="35"/>
      <c r="K46" s="35"/>
      <c r="L46" s="35"/>
      <c r="M46" s="32" t="str">
        <f t="shared" si="0"/>
        <v/>
      </c>
      <c r="N46" s="32"/>
      <c r="O46" s="4" t="str">
        <f ca="1" t="shared" si="1"/>
        <v>未开始</v>
      </c>
      <c r="P46" s="36"/>
    </row>
    <row r="47" spans="1:16">
      <c r="A47" s="32" t="s">
        <v>160</v>
      </c>
      <c r="B47" s="32" t="s">
        <v>205</v>
      </c>
      <c r="C47" s="33" t="s">
        <v>206</v>
      </c>
      <c r="D47" s="5" t="s">
        <v>207</v>
      </c>
      <c r="E47" s="5" t="s">
        <v>208</v>
      </c>
      <c r="F47" s="32"/>
      <c r="G47" s="4" t="s">
        <v>21</v>
      </c>
      <c r="H47" s="32" t="s">
        <v>201</v>
      </c>
      <c r="I47" s="35"/>
      <c r="J47" s="35"/>
      <c r="K47" s="35"/>
      <c r="L47" s="35"/>
      <c r="M47" s="32" t="str">
        <f t="shared" si="0"/>
        <v/>
      </c>
      <c r="N47" s="32"/>
      <c r="O47" s="4" t="str">
        <f ca="1" t="shared" si="1"/>
        <v>未开始</v>
      </c>
      <c r="P47" s="36"/>
    </row>
    <row r="48" spans="1:16">
      <c r="A48" s="32" t="s">
        <v>160</v>
      </c>
      <c r="B48" s="32" t="s">
        <v>209</v>
      </c>
      <c r="C48" s="33" t="s">
        <v>210</v>
      </c>
      <c r="D48" s="5" t="s">
        <v>211</v>
      </c>
      <c r="E48" s="5" t="s">
        <v>212</v>
      </c>
      <c r="F48" s="32"/>
      <c r="G48" s="4" t="s">
        <v>21</v>
      </c>
      <c r="H48" s="32" t="s">
        <v>205</v>
      </c>
      <c r="I48" s="35"/>
      <c r="J48" s="35"/>
      <c r="K48" s="35"/>
      <c r="L48" s="35"/>
      <c r="M48" s="32" t="str">
        <f t="shared" si="0"/>
        <v/>
      </c>
      <c r="N48" s="32"/>
      <c r="O48" s="4" t="str">
        <f ca="1" t="shared" si="1"/>
        <v>未开始</v>
      </c>
      <c r="P48" s="36"/>
    </row>
    <row r="49" spans="1:16">
      <c r="A49" s="22" t="s">
        <v>213</v>
      </c>
      <c r="B49" s="22" t="s">
        <v>214</v>
      </c>
      <c r="C49" s="23" t="s">
        <v>215</v>
      </c>
      <c r="D49" s="24" t="s">
        <v>216</v>
      </c>
      <c r="E49" s="24" t="s">
        <v>217</v>
      </c>
      <c r="F49" s="22"/>
      <c r="G49" s="25" t="s">
        <v>21</v>
      </c>
      <c r="H49" s="22" t="s">
        <v>189</v>
      </c>
      <c r="I49" s="26"/>
      <c r="J49" s="26"/>
      <c r="K49" s="26"/>
      <c r="L49" s="26"/>
      <c r="M49" s="22" t="str">
        <f t="shared" si="0"/>
        <v/>
      </c>
      <c r="N49" s="22"/>
      <c r="O49" s="25" t="str">
        <f ca="1" t="shared" si="1"/>
        <v>未开始</v>
      </c>
      <c r="P49" s="27"/>
    </row>
    <row r="50" spans="1:16">
      <c r="A50" s="28" t="s">
        <v>218</v>
      </c>
      <c r="B50" s="28" t="s">
        <v>219</v>
      </c>
      <c r="C50" s="29" t="s">
        <v>220</v>
      </c>
      <c r="D50" s="9" t="s">
        <v>221</v>
      </c>
      <c r="E50" s="9" t="s">
        <v>222</v>
      </c>
      <c r="F50" s="28"/>
      <c r="G50" s="8" t="s">
        <v>21</v>
      </c>
      <c r="H50" s="28"/>
      <c r="I50" s="30"/>
      <c r="J50" s="30"/>
      <c r="K50" s="30"/>
      <c r="L50" s="30"/>
      <c r="M50" s="28" t="str">
        <f t="shared" si="0"/>
        <v/>
      </c>
      <c r="N50" s="28"/>
      <c r="O50" s="8" t="str">
        <f ca="1" t="shared" si="1"/>
        <v>未开始</v>
      </c>
      <c r="P50" s="31"/>
    </row>
    <row r="51" spans="1:16">
      <c r="A51" s="32" t="s">
        <v>218</v>
      </c>
      <c r="B51" s="32" t="s">
        <v>223</v>
      </c>
      <c r="C51" s="33" t="s">
        <v>224</v>
      </c>
      <c r="D51" s="5" t="s">
        <v>225</v>
      </c>
      <c r="E51" s="5" t="s">
        <v>226</v>
      </c>
      <c r="F51" s="32"/>
      <c r="G51" s="4" t="s">
        <v>21</v>
      </c>
      <c r="H51" s="32"/>
      <c r="I51" s="35"/>
      <c r="J51" s="35"/>
      <c r="K51" s="35"/>
      <c r="L51" s="35"/>
      <c r="M51" s="32" t="str">
        <f t="shared" si="0"/>
        <v/>
      </c>
      <c r="N51" s="32"/>
      <c r="O51" s="4" t="str">
        <f ca="1" t="shared" si="1"/>
        <v>未开始</v>
      </c>
      <c r="P51" s="36"/>
    </row>
    <row r="52" spans="1:16">
      <c r="A52" s="32" t="s">
        <v>218</v>
      </c>
      <c r="B52" s="32" t="s">
        <v>227</v>
      </c>
      <c r="C52" s="33" t="s">
        <v>228</v>
      </c>
      <c r="D52" s="5" t="s">
        <v>229</v>
      </c>
      <c r="E52" s="5" t="s">
        <v>230</v>
      </c>
      <c r="F52" s="32"/>
      <c r="G52" s="4" t="s">
        <v>21</v>
      </c>
      <c r="H52" s="32" t="s">
        <v>223</v>
      </c>
      <c r="I52" s="35"/>
      <c r="J52" s="35"/>
      <c r="K52" s="35"/>
      <c r="L52" s="35"/>
      <c r="M52" s="32" t="str">
        <f t="shared" si="0"/>
        <v/>
      </c>
      <c r="N52" s="32"/>
      <c r="O52" s="4" t="str">
        <f ca="1" t="shared" si="1"/>
        <v>未开始</v>
      </c>
      <c r="P52" s="36"/>
    </row>
    <row r="53" spans="1:16">
      <c r="A53" s="28" t="s">
        <v>218</v>
      </c>
      <c r="B53" s="28" t="s">
        <v>231</v>
      </c>
      <c r="C53" s="29" t="s">
        <v>232</v>
      </c>
      <c r="D53" s="9" t="s">
        <v>233</v>
      </c>
      <c r="E53" s="37" t="s">
        <v>234</v>
      </c>
      <c r="F53" s="28"/>
      <c r="G53" s="8" t="s">
        <v>21</v>
      </c>
      <c r="H53" s="28" t="s">
        <v>227</v>
      </c>
      <c r="I53" s="30"/>
      <c r="J53" s="30"/>
      <c r="K53" s="30"/>
      <c r="L53" s="30"/>
      <c r="M53" s="28" t="str">
        <f t="shared" si="0"/>
        <v/>
      </c>
      <c r="N53" s="28"/>
      <c r="O53" s="8" t="str">
        <f ca="1" t="shared" si="1"/>
        <v>未开始</v>
      </c>
      <c r="P53" s="31"/>
    </row>
    <row r="54" spans="1:16">
      <c r="A54" s="32" t="s">
        <v>218</v>
      </c>
      <c r="B54" s="32" t="s">
        <v>235</v>
      </c>
      <c r="C54" s="33" t="s">
        <v>236</v>
      </c>
      <c r="D54" s="5" t="s">
        <v>237</v>
      </c>
      <c r="E54" s="34" t="s">
        <v>238</v>
      </c>
      <c r="F54" s="32"/>
      <c r="G54" s="4" t="s">
        <v>21</v>
      </c>
      <c r="H54" s="32"/>
      <c r="I54" s="35"/>
      <c r="J54" s="35"/>
      <c r="K54" s="35"/>
      <c r="L54" s="35"/>
      <c r="M54" s="32" t="str">
        <f t="shared" si="0"/>
        <v/>
      </c>
      <c r="N54" s="32"/>
      <c r="O54" s="4" t="str">
        <f ca="1" t="shared" si="1"/>
        <v>未开始</v>
      </c>
      <c r="P54" s="36"/>
    </row>
    <row r="55" spans="1:16">
      <c r="A55" s="32" t="s">
        <v>218</v>
      </c>
      <c r="B55" s="32" t="s">
        <v>239</v>
      </c>
      <c r="C55" s="33" t="s">
        <v>240</v>
      </c>
      <c r="D55" s="5" t="s">
        <v>241</v>
      </c>
      <c r="E55" s="5" t="s">
        <v>242</v>
      </c>
      <c r="F55" s="32"/>
      <c r="G55" s="4" t="s">
        <v>21</v>
      </c>
      <c r="H55" s="32" t="s">
        <v>235</v>
      </c>
      <c r="I55" s="35"/>
      <c r="J55" s="35"/>
      <c r="K55" s="35"/>
      <c r="L55" s="35"/>
      <c r="M55" s="32" t="str">
        <f t="shared" si="0"/>
        <v/>
      </c>
      <c r="N55" s="32"/>
      <c r="O55" s="4" t="str">
        <f ca="1" t="shared" si="1"/>
        <v>未开始</v>
      </c>
      <c r="P55" s="36"/>
    </row>
    <row r="56" spans="1:16">
      <c r="A56" s="28" t="s">
        <v>218</v>
      </c>
      <c r="B56" s="28" t="s">
        <v>243</v>
      </c>
      <c r="C56" s="29" t="s">
        <v>244</v>
      </c>
      <c r="D56" s="9" t="s">
        <v>245</v>
      </c>
      <c r="E56" s="37" t="s">
        <v>246</v>
      </c>
      <c r="F56" s="28"/>
      <c r="G56" s="8" t="s">
        <v>21</v>
      </c>
      <c r="H56" s="28" t="s">
        <v>239</v>
      </c>
      <c r="I56" s="30"/>
      <c r="J56" s="30"/>
      <c r="K56" s="30"/>
      <c r="L56" s="30"/>
      <c r="M56" s="28" t="str">
        <f t="shared" si="0"/>
        <v/>
      </c>
      <c r="N56" s="28"/>
      <c r="O56" s="8" t="str">
        <f ca="1" t="shared" si="1"/>
        <v>未开始</v>
      </c>
      <c r="P56" s="31"/>
    </row>
    <row r="57" spans="1:16">
      <c r="A57" s="32" t="s">
        <v>218</v>
      </c>
      <c r="B57" s="32" t="s">
        <v>247</v>
      </c>
      <c r="C57" s="38" t="s">
        <v>248</v>
      </c>
      <c r="D57" s="5" t="s">
        <v>249</v>
      </c>
      <c r="E57" s="34" t="s">
        <v>250</v>
      </c>
      <c r="F57" s="32"/>
      <c r="G57" s="4" t="s">
        <v>21</v>
      </c>
      <c r="H57" s="32"/>
      <c r="I57" s="35"/>
      <c r="J57" s="35"/>
      <c r="K57" s="35"/>
      <c r="L57" s="35"/>
      <c r="M57" s="32" t="str">
        <f t="shared" si="0"/>
        <v/>
      </c>
      <c r="N57" s="32"/>
      <c r="O57" s="4" t="str">
        <f ca="1" t="shared" si="1"/>
        <v>未开始</v>
      </c>
      <c r="P57" s="36"/>
    </row>
    <row r="58" spans="1:16">
      <c r="A58" s="32" t="s">
        <v>218</v>
      </c>
      <c r="B58" s="32" t="s">
        <v>251</v>
      </c>
      <c r="C58" s="38" t="s">
        <v>252</v>
      </c>
      <c r="D58" s="5" t="s">
        <v>253</v>
      </c>
      <c r="E58" s="34" t="s">
        <v>254</v>
      </c>
      <c r="F58" s="32"/>
      <c r="G58" s="4" t="s">
        <v>21</v>
      </c>
      <c r="H58" s="32" t="s">
        <v>247</v>
      </c>
      <c r="I58" s="35"/>
      <c r="J58" s="35"/>
      <c r="K58" s="35"/>
      <c r="L58" s="35"/>
      <c r="M58" s="32" t="str">
        <f t="shared" si="0"/>
        <v/>
      </c>
      <c r="N58" s="32"/>
      <c r="O58" s="4" t="str">
        <f ca="1" t="shared" si="1"/>
        <v>未开始</v>
      </c>
      <c r="P58" s="36"/>
    </row>
    <row r="59" spans="1:16">
      <c r="A59" s="32" t="s">
        <v>218</v>
      </c>
      <c r="B59" s="32" t="s">
        <v>255</v>
      </c>
      <c r="C59" s="38" t="s">
        <v>256</v>
      </c>
      <c r="D59" s="5" t="s">
        <v>257</v>
      </c>
      <c r="E59" s="34" t="s">
        <v>258</v>
      </c>
      <c r="F59" s="32"/>
      <c r="G59" s="4" t="s">
        <v>39</v>
      </c>
      <c r="H59" s="32" t="s">
        <v>251</v>
      </c>
      <c r="I59" s="35"/>
      <c r="J59" s="35"/>
      <c r="K59" s="35"/>
      <c r="L59" s="35"/>
      <c r="M59" s="32" t="str">
        <f t="shared" si="0"/>
        <v/>
      </c>
      <c r="N59" s="32"/>
      <c r="O59" s="4" t="str">
        <f ca="1" t="shared" si="1"/>
        <v>未开始</v>
      </c>
      <c r="P59" s="36"/>
    </row>
    <row r="60" spans="1:16">
      <c r="A60" s="28" t="s">
        <v>218</v>
      </c>
      <c r="B60" s="28" t="s">
        <v>259</v>
      </c>
      <c r="C60" s="29" t="s">
        <v>260</v>
      </c>
      <c r="D60" s="9" t="s">
        <v>261</v>
      </c>
      <c r="E60" s="9" t="s">
        <v>262</v>
      </c>
      <c r="F60" s="28"/>
      <c r="G60" s="8" t="s">
        <v>21</v>
      </c>
      <c r="H60" s="28" t="s">
        <v>239</v>
      </c>
      <c r="I60" s="30"/>
      <c r="J60" s="30"/>
      <c r="K60" s="30"/>
      <c r="L60" s="30"/>
      <c r="M60" s="28" t="str">
        <f t="shared" si="0"/>
        <v/>
      </c>
      <c r="N60" s="28"/>
      <c r="O60" s="8" t="str">
        <f ca="1" t="shared" si="1"/>
        <v>未开始</v>
      </c>
      <c r="P60" s="31"/>
    </row>
    <row r="61" spans="1:16">
      <c r="A61" s="32" t="s">
        <v>218</v>
      </c>
      <c r="B61" s="32" t="s">
        <v>263</v>
      </c>
      <c r="C61" s="33" t="s">
        <v>264</v>
      </c>
      <c r="D61" s="5" t="s">
        <v>265</v>
      </c>
      <c r="E61" s="5" t="s">
        <v>266</v>
      </c>
      <c r="F61" s="32"/>
      <c r="G61" s="4" t="s">
        <v>21</v>
      </c>
      <c r="H61" s="32"/>
      <c r="I61" s="35"/>
      <c r="J61" s="35"/>
      <c r="K61" s="35"/>
      <c r="L61" s="35"/>
      <c r="M61" s="32" t="str">
        <f t="shared" si="0"/>
        <v/>
      </c>
      <c r="N61" s="32"/>
      <c r="O61" s="4" t="str">
        <f ca="1" t="shared" si="1"/>
        <v>未开始</v>
      </c>
      <c r="P61" s="36"/>
    </row>
    <row r="62" spans="1:16">
      <c r="A62" s="32" t="s">
        <v>218</v>
      </c>
      <c r="B62" s="32" t="s">
        <v>267</v>
      </c>
      <c r="C62" s="33" t="s">
        <v>268</v>
      </c>
      <c r="D62" s="5" t="s">
        <v>269</v>
      </c>
      <c r="E62" s="5" t="s">
        <v>270</v>
      </c>
      <c r="F62" s="32"/>
      <c r="G62" s="4" t="s">
        <v>21</v>
      </c>
      <c r="H62" s="32" t="s">
        <v>263</v>
      </c>
      <c r="I62" s="35"/>
      <c r="J62" s="35"/>
      <c r="K62" s="35"/>
      <c r="L62" s="35"/>
      <c r="M62" s="32" t="str">
        <f t="shared" si="0"/>
        <v/>
      </c>
      <c r="N62" s="32"/>
      <c r="O62" s="4" t="str">
        <f ca="1" t="shared" si="1"/>
        <v>未开始</v>
      </c>
      <c r="P62" s="36"/>
    </row>
    <row r="63" spans="1:16">
      <c r="A63" s="22" t="s">
        <v>271</v>
      </c>
      <c r="B63" s="22" t="s">
        <v>272</v>
      </c>
      <c r="C63" s="23" t="s">
        <v>273</v>
      </c>
      <c r="D63" s="24" t="s">
        <v>274</v>
      </c>
      <c r="E63" s="24" t="s">
        <v>275</v>
      </c>
      <c r="F63" s="22"/>
      <c r="G63" s="25" t="s">
        <v>21</v>
      </c>
      <c r="H63" s="22" t="s">
        <v>255</v>
      </c>
      <c r="I63" s="26"/>
      <c r="J63" s="26"/>
      <c r="K63" s="26"/>
      <c r="L63" s="26"/>
      <c r="M63" s="22" t="str">
        <f t="shared" si="0"/>
        <v/>
      </c>
      <c r="N63" s="22"/>
      <c r="O63" s="25" t="str">
        <f ca="1" t="shared" si="1"/>
        <v>未开始</v>
      </c>
      <c r="P63" s="27"/>
    </row>
    <row r="64" spans="1:16">
      <c r="A64" s="28" t="s">
        <v>276</v>
      </c>
      <c r="B64" s="28" t="s">
        <v>277</v>
      </c>
      <c r="C64" s="29" t="s">
        <v>278</v>
      </c>
      <c r="D64" s="9" t="s">
        <v>279</v>
      </c>
      <c r="E64" s="9" t="s">
        <v>280</v>
      </c>
      <c r="F64" s="28"/>
      <c r="G64" s="8" t="s">
        <v>21</v>
      </c>
      <c r="H64" s="28"/>
      <c r="I64" s="30"/>
      <c r="J64" s="30"/>
      <c r="K64" s="30"/>
      <c r="L64" s="30"/>
      <c r="M64" s="28" t="str">
        <f t="shared" si="0"/>
        <v/>
      </c>
      <c r="N64" s="28"/>
      <c r="O64" s="8" t="str">
        <f ca="1" t="shared" si="1"/>
        <v>未开始</v>
      </c>
      <c r="P64" s="31"/>
    </row>
    <row r="65" spans="1:16">
      <c r="A65" s="32" t="s">
        <v>276</v>
      </c>
      <c r="B65" s="32" t="s">
        <v>281</v>
      </c>
      <c r="C65" s="33" t="s">
        <v>282</v>
      </c>
      <c r="D65" s="5" t="s">
        <v>283</v>
      </c>
      <c r="E65" s="5" t="s">
        <v>284</v>
      </c>
      <c r="F65" s="32"/>
      <c r="G65" s="4" t="s">
        <v>21</v>
      </c>
      <c r="H65" s="32"/>
      <c r="I65" s="35"/>
      <c r="J65" s="35"/>
      <c r="K65" s="35"/>
      <c r="L65" s="35"/>
      <c r="M65" s="32" t="str">
        <f t="shared" si="0"/>
        <v/>
      </c>
      <c r="N65" s="32"/>
      <c r="O65" s="4" t="str">
        <f ca="1" t="shared" si="1"/>
        <v>未开始</v>
      </c>
      <c r="P65" s="36"/>
    </row>
    <row r="66" spans="1:16">
      <c r="A66" s="32" t="s">
        <v>276</v>
      </c>
      <c r="B66" s="32" t="s">
        <v>285</v>
      </c>
      <c r="C66" s="33" t="s">
        <v>286</v>
      </c>
      <c r="D66" s="5" t="s">
        <v>287</v>
      </c>
      <c r="E66" s="5" t="s">
        <v>288</v>
      </c>
      <c r="F66" s="32"/>
      <c r="G66" s="4" t="s">
        <v>21</v>
      </c>
      <c r="H66" s="32" t="s">
        <v>281</v>
      </c>
      <c r="I66" s="35"/>
      <c r="J66" s="35"/>
      <c r="K66" s="35"/>
      <c r="L66" s="35"/>
      <c r="M66" s="32" t="str">
        <f t="shared" ref="M66:M95" si="2">IFERROR(IF(OR(J66="",L66=""),"",L66-J66),"")</f>
        <v/>
      </c>
      <c r="N66" s="32"/>
      <c r="O66" s="4" t="str">
        <f ca="1" t="shared" ref="O66:O95" si="3">IF(N66=100,"已完成",IF(AND(N66=0,J66&lt;&gt;"",TODAY()&gt;J66),"已延期",IF(N66=0,"未开始",IF(AND(J66&lt;&gt;"",TODAY()&gt;J66),"已延期","进行中"))))</f>
        <v>未开始</v>
      </c>
      <c r="P66" s="36"/>
    </row>
    <row r="67" spans="1:16">
      <c r="A67" s="28" t="s">
        <v>276</v>
      </c>
      <c r="B67" s="28" t="s">
        <v>289</v>
      </c>
      <c r="C67" s="29" t="s">
        <v>290</v>
      </c>
      <c r="D67" s="9" t="s">
        <v>291</v>
      </c>
      <c r="E67" s="9" t="s">
        <v>292</v>
      </c>
      <c r="F67" s="28"/>
      <c r="G67" s="8" t="s">
        <v>21</v>
      </c>
      <c r="H67" s="28" t="s">
        <v>255</v>
      </c>
      <c r="I67" s="30"/>
      <c r="J67" s="30"/>
      <c r="K67" s="30"/>
      <c r="L67" s="30"/>
      <c r="M67" s="28" t="str">
        <f t="shared" si="2"/>
        <v/>
      </c>
      <c r="N67" s="28"/>
      <c r="O67" s="8" t="str">
        <f ca="1" t="shared" si="3"/>
        <v>未开始</v>
      </c>
      <c r="P67" s="31"/>
    </row>
    <row r="68" spans="1:16">
      <c r="A68" s="32" t="s">
        <v>276</v>
      </c>
      <c r="B68" s="32" t="s">
        <v>293</v>
      </c>
      <c r="C68" s="33" t="s">
        <v>294</v>
      </c>
      <c r="D68" s="5" t="s">
        <v>295</v>
      </c>
      <c r="E68" s="5" t="s">
        <v>296</v>
      </c>
      <c r="F68" s="32"/>
      <c r="G68" s="4" t="s">
        <v>21</v>
      </c>
      <c r="H68" s="32"/>
      <c r="I68" s="35"/>
      <c r="J68" s="35"/>
      <c r="K68" s="35"/>
      <c r="L68" s="35"/>
      <c r="M68" s="32" t="str">
        <f t="shared" si="2"/>
        <v/>
      </c>
      <c r="N68" s="32"/>
      <c r="O68" s="4" t="str">
        <f ca="1" t="shared" si="3"/>
        <v>未开始</v>
      </c>
      <c r="P68" s="36"/>
    </row>
    <row r="69" spans="1:16">
      <c r="A69" s="32" t="s">
        <v>276</v>
      </c>
      <c r="B69" s="32" t="s">
        <v>297</v>
      </c>
      <c r="C69" s="33" t="s">
        <v>298</v>
      </c>
      <c r="D69" s="5" t="s">
        <v>299</v>
      </c>
      <c r="E69" s="34" t="s">
        <v>300</v>
      </c>
      <c r="F69" s="32"/>
      <c r="G69" s="4" t="s">
        <v>21</v>
      </c>
      <c r="H69" s="32" t="s">
        <v>293</v>
      </c>
      <c r="I69" s="35"/>
      <c r="J69" s="35"/>
      <c r="K69" s="35"/>
      <c r="L69" s="35"/>
      <c r="M69" s="32" t="str">
        <f t="shared" si="2"/>
        <v/>
      </c>
      <c r="N69" s="32"/>
      <c r="O69" s="4" t="str">
        <f ca="1" t="shared" si="3"/>
        <v>未开始</v>
      </c>
      <c r="P69" s="36"/>
    </row>
    <row r="70" spans="1:16">
      <c r="A70" s="28" t="s">
        <v>276</v>
      </c>
      <c r="B70" s="28" t="s">
        <v>301</v>
      </c>
      <c r="C70" s="29" t="s">
        <v>302</v>
      </c>
      <c r="D70" s="9" t="s">
        <v>303</v>
      </c>
      <c r="E70" s="9" t="s">
        <v>304</v>
      </c>
      <c r="F70" s="28"/>
      <c r="G70" s="8" t="s">
        <v>21</v>
      </c>
      <c r="H70" s="28" t="s">
        <v>297</v>
      </c>
      <c r="I70" s="30"/>
      <c r="J70" s="30"/>
      <c r="K70" s="30"/>
      <c r="L70" s="30"/>
      <c r="M70" s="28" t="str">
        <f t="shared" si="2"/>
        <v/>
      </c>
      <c r="N70" s="28"/>
      <c r="O70" s="8" t="str">
        <f ca="1" t="shared" si="3"/>
        <v>未开始</v>
      </c>
      <c r="P70" s="31"/>
    </row>
    <row r="71" spans="1:16">
      <c r="A71" s="32" t="s">
        <v>276</v>
      </c>
      <c r="B71" s="32" t="s">
        <v>305</v>
      </c>
      <c r="C71" s="33" t="s">
        <v>306</v>
      </c>
      <c r="D71" s="5" t="s">
        <v>307</v>
      </c>
      <c r="E71" s="5" t="s">
        <v>308</v>
      </c>
      <c r="F71" s="32"/>
      <c r="G71" s="4" t="s">
        <v>21</v>
      </c>
      <c r="H71" s="32"/>
      <c r="I71" s="35"/>
      <c r="J71" s="35"/>
      <c r="K71" s="35"/>
      <c r="L71" s="35"/>
      <c r="M71" s="32" t="str">
        <f t="shared" si="2"/>
        <v/>
      </c>
      <c r="N71" s="32"/>
      <c r="O71" s="4" t="str">
        <f ca="1" t="shared" si="3"/>
        <v>未开始</v>
      </c>
      <c r="P71" s="36"/>
    </row>
    <row r="72" spans="1:16">
      <c r="A72" s="32" t="s">
        <v>276</v>
      </c>
      <c r="B72" s="32" t="s">
        <v>309</v>
      </c>
      <c r="C72" s="33" t="s">
        <v>310</v>
      </c>
      <c r="D72" s="5" t="s">
        <v>311</v>
      </c>
      <c r="E72" s="5" t="s">
        <v>312</v>
      </c>
      <c r="F72" s="32"/>
      <c r="G72" s="4" t="s">
        <v>21</v>
      </c>
      <c r="H72" s="32" t="s">
        <v>305</v>
      </c>
      <c r="I72" s="35"/>
      <c r="J72" s="35"/>
      <c r="K72" s="35"/>
      <c r="L72" s="35"/>
      <c r="M72" s="32" t="str">
        <f t="shared" si="2"/>
        <v/>
      </c>
      <c r="N72" s="32"/>
      <c r="O72" s="4" t="str">
        <f ca="1" t="shared" si="3"/>
        <v>未开始</v>
      </c>
      <c r="P72" s="36"/>
    </row>
    <row r="73" spans="1:16">
      <c r="A73" s="32" t="s">
        <v>276</v>
      </c>
      <c r="B73" s="32" t="s">
        <v>313</v>
      </c>
      <c r="C73" s="33" t="s">
        <v>314</v>
      </c>
      <c r="D73" s="5" t="s">
        <v>315</v>
      </c>
      <c r="E73" s="34" t="s">
        <v>316</v>
      </c>
      <c r="F73" s="32"/>
      <c r="G73" s="4" t="s">
        <v>39</v>
      </c>
      <c r="H73" s="32" t="s">
        <v>309</v>
      </c>
      <c r="I73" s="35"/>
      <c r="J73" s="35"/>
      <c r="K73" s="35"/>
      <c r="L73" s="35"/>
      <c r="M73" s="32" t="str">
        <f t="shared" si="2"/>
        <v/>
      </c>
      <c r="N73" s="32"/>
      <c r="O73" s="4" t="str">
        <f ca="1" t="shared" si="3"/>
        <v>未开始</v>
      </c>
      <c r="P73" s="36"/>
    </row>
    <row r="74" spans="1:16">
      <c r="A74" s="22" t="s">
        <v>317</v>
      </c>
      <c r="B74" s="22" t="s">
        <v>318</v>
      </c>
      <c r="C74" s="23" t="s">
        <v>319</v>
      </c>
      <c r="D74" s="24" t="s">
        <v>320</v>
      </c>
      <c r="E74" s="24" t="s">
        <v>321</v>
      </c>
      <c r="F74" s="22"/>
      <c r="G74" s="25" t="s">
        <v>21</v>
      </c>
      <c r="H74" s="22" t="s">
        <v>313</v>
      </c>
      <c r="I74" s="26"/>
      <c r="J74" s="26"/>
      <c r="K74" s="26"/>
      <c r="L74" s="26"/>
      <c r="M74" s="22" t="str">
        <f t="shared" si="2"/>
        <v/>
      </c>
      <c r="N74" s="22"/>
      <c r="O74" s="25" t="str">
        <f ca="1" t="shared" si="3"/>
        <v>未开始</v>
      </c>
      <c r="P74" s="27"/>
    </row>
    <row r="75" spans="1:16">
      <c r="A75" s="28" t="s">
        <v>322</v>
      </c>
      <c r="B75" s="28" t="s">
        <v>323</v>
      </c>
      <c r="C75" s="29" t="s">
        <v>324</v>
      </c>
      <c r="D75" s="9" t="s">
        <v>325</v>
      </c>
      <c r="E75" s="9" t="s">
        <v>326</v>
      </c>
      <c r="F75" s="28"/>
      <c r="G75" s="8" t="s">
        <v>21</v>
      </c>
      <c r="H75" s="28"/>
      <c r="I75" s="30"/>
      <c r="J75" s="30"/>
      <c r="K75" s="30"/>
      <c r="L75" s="30"/>
      <c r="M75" s="28" t="str">
        <f t="shared" si="2"/>
        <v/>
      </c>
      <c r="N75" s="28"/>
      <c r="O75" s="8" t="str">
        <f ca="1" t="shared" si="3"/>
        <v>未开始</v>
      </c>
      <c r="P75" s="31"/>
    </row>
    <row r="76" spans="1:16">
      <c r="A76" s="32" t="s">
        <v>322</v>
      </c>
      <c r="B76" s="32" t="s">
        <v>327</v>
      </c>
      <c r="C76" s="33" t="s">
        <v>328</v>
      </c>
      <c r="D76" s="5" t="s">
        <v>329</v>
      </c>
      <c r="E76" s="5" t="s">
        <v>330</v>
      </c>
      <c r="F76" s="32"/>
      <c r="G76" s="4" t="s">
        <v>21</v>
      </c>
      <c r="H76" s="32"/>
      <c r="I76" s="35"/>
      <c r="J76" s="35"/>
      <c r="K76" s="35"/>
      <c r="L76" s="35"/>
      <c r="M76" s="32" t="str">
        <f t="shared" si="2"/>
        <v/>
      </c>
      <c r="N76" s="32"/>
      <c r="O76" s="4" t="str">
        <f ca="1" t="shared" si="3"/>
        <v>未开始</v>
      </c>
      <c r="P76" s="36"/>
    </row>
    <row r="77" spans="1:16">
      <c r="A77" s="32" t="s">
        <v>322</v>
      </c>
      <c r="B77" s="32" t="s">
        <v>331</v>
      </c>
      <c r="C77" s="33" t="s">
        <v>332</v>
      </c>
      <c r="D77" s="5" t="s">
        <v>333</v>
      </c>
      <c r="E77" s="5" t="s">
        <v>334</v>
      </c>
      <c r="F77" s="32"/>
      <c r="G77" s="4" t="s">
        <v>21</v>
      </c>
      <c r="H77" s="32" t="s">
        <v>327</v>
      </c>
      <c r="I77" s="35"/>
      <c r="J77" s="35"/>
      <c r="K77" s="35"/>
      <c r="L77" s="35"/>
      <c r="M77" s="32" t="str">
        <f t="shared" si="2"/>
        <v/>
      </c>
      <c r="N77" s="32"/>
      <c r="O77" s="4" t="str">
        <f ca="1" t="shared" si="3"/>
        <v>未开始</v>
      </c>
      <c r="P77" s="36"/>
    </row>
    <row r="78" spans="1:16">
      <c r="A78" s="28" t="s">
        <v>322</v>
      </c>
      <c r="B78" s="28" t="s">
        <v>335</v>
      </c>
      <c r="C78" s="29" t="s">
        <v>336</v>
      </c>
      <c r="D78" s="37" t="s">
        <v>337</v>
      </c>
      <c r="E78" s="9" t="s">
        <v>338</v>
      </c>
      <c r="F78" s="28"/>
      <c r="G78" s="8" t="s">
        <v>21</v>
      </c>
      <c r="H78" s="28" t="s">
        <v>331</v>
      </c>
      <c r="I78" s="30"/>
      <c r="J78" s="30"/>
      <c r="K78" s="30"/>
      <c r="L78" s="30"/>
      <c r="M78" s="28" t="str">
        <f t="shared" si="2"/>
        <v/>
      </c>
      <c r="N78" s="28"/>
      <c r="O78" s="8" t="str">
        <f ca="1" t="shared" si="3"/>
        <v>未开始</v>
      </c>
      <c r="P78" s="31"/>
    </row>
    <row r="79" spans="1:16">
      <c r="A79" s="32" t="s">
        <v>322</v>
      </c>
      <c r="B79" s="32" t="s">
        <v>339</v>
      </c>
      <c r="C79" s="33" t="s">
        <v>340</v>
      </c>
      <c r="D79" s="5" t="s">
        <v>341</v>
      </c>
      <c r="E79" s="5" t="s">
        <v>342</v>
      </c>
      <c r="F79" s="32"/>
      <c r="G79" s="4" t="s">
        <v>21</v>
      </c>
      <c r="H79" s="32"/>
      <c r="I79" s="35"/>
      <c r="J79" s="35"/>
      <c r="K79" s="35"/>
      <c r="L79" s="35"/>
      <c r="M79" s="32" t="str">
        <f t="shared" si="2"/>
        <v/>
      </c>
      <c r="N79" s="32"/>
      <c r="O79" s="4" t="str">
        <f ca="1" t="shared" si="3"/>
        <v>未开始</v>
      </c>
      <c r="P79" s="36"/>
    </row>
    <row r="80" spans="1:16">
      <c r="A80" s="32" t="s">
        <v>322</v>
      </c>
      <c r="B80" s="32" t="s">
        <v>343</v>
      </c>
      <c r="C80" s="33" t="s">
        <v>344</v>
      </c>
      <c r="D80" s="5" t="s">
        <v>345</v>
      </c>
      <c r="E80" s="5" t="s">
        <v>346</v>
      </c>
      <c r="F80" s="32"/>
      <c r="G80" s="4" t="s">
        <v>21</v>
      </c>
      <c r="H80" s="32" t="s">
        <v>339</v>
      </c>
      <c r="I80" s="35"/>
      <c r="J80" s="35"/>
      <c r="K80" s="35"/>
      <c r="L80" s="35"/>
      <c r="M80" s="32" t="str">
        <f t="shared" si="2"/>
        <v/>
      </c>
      <c r="N80" s="32"/>
      <c r="O80" s="4" t="str">
        <f ca="1" t="shared" si="3"/>
        <v>未开始</v>
      </c>
      <c r="P80" s="36"/>
    </row>
    <row r="81" spans="1:16">
      <c r="A81" s="28" t="s">
        <v>322</v>
      </c>
      <c r="B81" s="28" t="s">
        <v>347</v>
      </c>
      <c r="C81" s="29" t="s">
        <v>348</v>
      </c>
      <c r="D81" s="9" t="s">
        <v>349</v>
      </c>
      <c r="E81" s="9" t="s">
        <v>350</v>
      </c>
      <c r="F81" s="28"/>
      <c r="G81" s="8" t="s">
        <v>21</v>
      </c>
      <c r="H81" s="28" t="s">
        <v>343</v>
      </c>
      <c r="I81" s="30"/>
      <c r="J81" s="30"/>
      <c r="K81" s="30"/>
      <c r="L81" s="30"/>
      <c r="M81" s="28" t="str">
        <f t="shared" si="2"/>
        <v/>
      </c>
      <c r="N81" s="28"/>
      <c r="O81" s="8" t="str">
        <f ca="1" t="shared" si="3"/>
        <v>未开始</v>
      </c>
      <c r="P81" s="31"/>
    </row>
    <row r="82" spans="1:16">
      <c r="A82" s="32" t="s">
        <v>322</v>
      </c>
      <c r="B82" s="32" t="s">
        <v>351</v>
      </c>
      <c r="C82" s="33" t="s">
        <v>352</v>
      </c>
      <c r="D82" s="5" t="s">
        <v>353</v>
      </c>
      <c r="E82" s="5" t="s">
        <v>354</v>
      </c>
      <c r="F82" s="32"/>
      <c r="G82" s="4" t="s">
        <v>39</v>
      </c>
      <c r="H82" s="32"/>
      <c r="I82" s="35"/>
      <c r="J82" s="35"/>
      <c r="K82" s="35"/>
      <c r="L82" s="35"/>
      <c r="M82" s="32" t="str">
        <f t="shared" si="2"/>
        <v/>
      </c>
      <c r="N82" s="32"/>
      <c r="O82" s="4" t="str">
        <f ca="1" t="shared" si="3"/>
        <v>未开始</v>
      </c>
      <c r="P82" s="36"/>
    </row>
    <row r="83" spans="1:16">
      <c r="A83" s="32" t="s">
        <v>322</v>
      </c>
      <c r="B83" s="32" t="s">
        <v>355</v>
      </c>
      <c r="C83" s="33" t="s">
        <v>356</v>
      </c>
      <c r="D83" s="5" t="s">
        <v>357</v>
      </c>
      <c r="E83" s="5" t="s">
        <v>358</v>
      </c>
      <c r="F83" s="32"/>
      <c r="G83" s="4" t="s">
        <v>21</v>
      </c>
      <c r="H83" s="32" t="s">
        <v>351</v>
      </c>
      <c r="I83" s="35"/>
      <c r="J83" s="35"/>
      <c r="K83" s="35"/>
      <c r="L83" s="35"/>
      <c r="M83" s="32" t="str">
        <f t="shared" si="2"/>
        <v/>
      </c>
      <c r="N83" s="32"/>
      <c r="O83" s="4" t="str">
        <f ca="1" t="shared" si="3"/>
        <v>未开始</v>
      </c>
      <c r="P83" s="36"/>
    </row>
    <row r="84" spans="1:16">
      <c r="A84" s="32" t="s">
        <v>322</v>
      </c>
      <c r="B84" s="32" t="s">
        <v>359</v>
      </c>
      <c r="C84" s="33" t="s">
        <v>360</v>
      </c>
      <c r="D84" s="5" t="s">
        <v>361</v>
      </c>
      <c r="E84" s="5" t="s">
        <v>362</v>
      </c>
      <c r="F84" s="32"/>
      <c r="G84" s="4" t="s">
        <v>39</v>
      </c>
      <c r="H84" s="32" t="s">
        <v>355</v>
      </c>
      <c r="I84" s="35"/>
      <c r="J84" s="35"/>
      <c r="K84" s="35"/>
      <c r="L84" s="35"/>
      <c r="M84" s="32" t="str">
        <f t="shared" si="2"/>
        <v/>
      </c>
      <c r="N84" s="32"/>
      <c r="O84" s="4" t="str">
        <f ca="1" t="shared" si="3"/>
        <v>未开始</v>
      </c>
      <c r="P84" s="36"/>
    </row>
    <row r="85" spans="1:16">
      <c r="A85" s="22" t="s">
        <v>363</v>
      </c>
      <c r="B85" s="22" t="s">
        <v>364</v>
      </c>
      <c r="C85" s="23" t="s">
        <v>365</v>
      </c>
      <c r="D85" s="39" t="s">
        <v>366</v>
      </c>
      <c r="E85" s="24" t="s">
        <v>367</v>
      </c>
      <c r="F85" s="22"/>
      <c r="G85" s="25" t="s">
        <v>21</v>
      </c>
      <c r="H85" s="22"/>
      <c r="I85" s="26"/>
      <c r="J85" s="26"/>
      <c r="K85" s="26"/>
      <c r="L85" s="26"/>
      <c r="M85" s="22" t="str">
        <f t="shared" si="2"/>
        <v/>
      </c>
      <c r="N85" s="22"/>
      <c r="O85" s="25" t="str">
        <f ca="1" t="shared" si="3"/>
        <v>未开始</v>
      </c>
      <c r="P85" s="27"/>
    </row>
    <row r="86" spans="1:16">
      <c r="A86" s="28" t="s">
        <v>363</v>
      </c>
      <c r="B86" s="28" t="s">
        <v>368</v>
      </c>
      <c r="C86" s="29" t="s">
        <v>369</v>
      </c>
      <c r="D86" s="9" t="s">
        <v>370</v>
      </c>
      <c r="E86" s="9" t="s">
        <v>371</v>
      </c>
      <c r="F86" s="28"/>
      <c r="G86" s="8" t="s">
        <v>21</v>
      </c>
      <c r="H86" s="28"/>
      <c r="I86" s="30"/>
      <c r="J86" s="30"/>
      <c r="K86" s="30"/>
      <c r="L86" s="30"/>
      <c r="M86" s="28" t="str">
        <f t="shared" si="2"/>
        <v/>
      </c>
      <c r="N86" s="28"/>
      <c r="O86" s="8" t="str">
        <f ca="1" t="shared" si="3"/>
        <v>未开始</v>
      </c>
      <c r="P86" s="31"/>
    </row>
    <row r="87" spans="1:16">
      <c r="A87" s="32" t="s">
        <v>363</v>
      </c>
      <c r="B87" s="32" t="s">
        <v>372</v>
      </c>
      <c r="C87" s="33" t="s">
        <v>373</v>
      </c>
      <c r="D87" s="5" t="s">
        <v>374</v>
      </c>
      <c r="E87" s="5" t="s">
        <v>375</v>
      </c>
      <c r="F87" s="32"/>
      <c r="G87" s="4" t="s">
        <v>21</v>
      </c>
      <c r="H87" s="32"/>
      <c r="I87" s="35"/>
      <c r="J87" s="35"/>
      <c r="K87" s="35"/>
      <c r="L87" s="35"/>
      <c r="M87" s="32" t="str">
        <f t="shared" si="2"/>
        <v/>
      </c>
      <c r="N87" s="32"/>
      <c r="O87" s="4" t="str">
        <f ca="1" t="shared" si="3"/>
        <v>未开始</v>
      </c>
      <c r="P87" s="36"/>
    </row>
    <row r="88" spans="1:16">
      <c r="A88" s="32" t="s">
        <v>363</v>
      </c>
      <c r="B88" s="32" t="s">
        <v>376</v>
      </c>
      <c r="C88" s="38" t="s">
        <v>377</v>
      </c>
      <c r="D88" s="5" t="s">
        <v>378</v>
      </c>
      <c r="E88" s="5" t="s">
        <v>379</v>
      </c>
      <c r="F88" s="32"/>
      <c r="G88" s="4" t="s">
        <v>21</v>
      </c>
      <c r="H88" s="32"/>
      <c r="I88" s="35"/>
      <c r="J88" s="35"/>
      <c r="K88" s="35"/>
      <c r="L88" s="35"/>
      <c r="M88" s="32" t="str">
        <f t="shared" si="2"/>
        <v/>
      </c>
      <c r="N88" s="32"/>
      <c r="O88" s="4" t="str">
        <f ca="1" t="shared" si="3"/>
        <v>未开始</v>
      </c>
      <c r="P88" s="36"/>
    </row>
    <row r="89" spans="1:16">
      <c r="A89" s="28" t="s">
        <v>363</v>
      </c>
      <c r="B89" s="28" t="s">
        <v>380</v>
      </c>
      <c r="C89" s="29" t="s">
        <v>381</v>
      </c>
      <c r="D89" s="9" t="s">
        <v>382</v>
      </c>
      <c r="E89" s="9" t="s">
        <v>383</v>
      </c>
      <c r="F89" s="28"/>
      <c r="G89" s="8" t="s">
        <v>21</v>
      </c>
      <c r="H89" s="28"/>
      <c r="I89" s="30"/>
      <c r="J89" s="30"/>
      <c r="K89" s="30"/>
      <c r="L89" s="30"/>
      <c r="M89" s="28" t="str">
        <f t="shared" si="2"/>
        <v/>
      </c>
      <c r="N89" s="28"/>
      <c r="O89" s="8" t="str">
        <f ca="1" t="shared" si="3"/>
        <v>未开始</v>
      </c>
      <c r="P89" s="31"/>
    </row>
    <row r="90" spans="1:16">
      <c r="A90" s="32" t="s">
        <v>363</v>
      </c>
      <c r="B90" s="32" t="s">
        <v>384</v>
      </c>
      <c r="C90" s="33" t="s">
        <v>385</v>
      </c>
      <c r="D90" s="5" t="s">
        <v>386</v>
      </c>
      <c r="E90" s="5" t="s">
        <v>387</v>
      </c>
      <c r="F90" s="32"/>
      <c r="G90" s="4" t="s">
        <v>21</v>
      </c>
      <c r="H90" s="32"/>
      <c r="I90" s="35"/>
      <c r="J90" s="35"/>
      <c r="K90" s="35"/>
      <c r="L90" s="35"/>
      <c r="M90" s="32" t="str">
        <f t="shared" si="2"/>
        <v/>
      </c>
      <c r="N90" s="32"/>
      <c r="O90" s="4" t="str">
        <f ca="1" t="shared" si="3"/>
        <v>未开始</v>
      </c>
      <c r="P90" s="36"/>
    </row>
    <row r="91" spans="1:16">
      <c r="A91" s="32" t="s">
        <v>363</v>
      </c>
      <c r="B91" s="32" t="s">
        <v>388</v>
      </c>
      <c r="C91" s="33" t="s">
        <v>389</v>
      </c>
      <c r="D91" s="5" t="s">
        <v>390</v>
      </c>
      <c r="E91" s="34" t="s">
        <v>391</v>
      </c>
      <c r="F91" s="32"/>
      <c r="G91" s="4" t="s">
        <v>21</v>
      </c>
      <c r="H91" s="32"/>
      <c r="I91" s="35"/>
      <c r="J91" s="35"/>
      <c r="K91" s="35"/>
      <c r="L91" s="35"/>
      <c r="M91" s="32" t="str">
        <f t="shared" si="2"/>
        <v/>
      </c>
      <c r="N91" s="32"/>
      <c r="O91" s="4" t="str">
        <f ca="1" t="shared" si="3"/>
        <v>未开始</v>
      </c>
      <c r="P91" s="36"/>
    </row>
    <row r="92" spans="1:16">
      <c r="A92" s="28" t="s">
        <v>363</v>
      </c>
      <c r="B92" s="28" t="s">
        <v>392</v>
      </c>
      <c r="C92" s="29" t="s">
        <v>393</v>
      </c>
      <c r="D92" s="9" t="s">
        <v>394</v>
      </c>
      <c r="E92" s="9" t="s">
        <v>395</v>
      </c>
      <c r="F92" s="28"/>
      <c r="G92" s="8" t="s">
        <v>21</v>
      </c>
      <c r="H92" s="28"/>
      <c r="I92" s="30"/>
      <c r="J92" s="30"/>
      <c r="K92" s="30"/>
      <c r="L92" s="30"/>
      <c r="M92" s="28" t="str">
        <f t="shared" si="2"/>
        <v/>
      </c>
      <c r="N92" s="28"/>
      <c r="O92" s="8" t="str">
        <f ca="1" t="shared" si="3"/>
        <v>未开始</v>
      </c>
      <c r="P92" s="31"/>
    </row>
    <row r="93" spans="1:16">
      <c r="A93" s="32" t="s">
        <v>363</v>
      </c>
      <c r="B93" s="32" t="s">
        <v>396</v>
      </c>
      <c r="C93" s="33" t="s">
        <v>397</v>
      </c>
      <c r="D93" s="5" t="s">
        <v>398</v>
      </c>
      <c r="E93" s="5" t="s">
        <v>399</v>
      </c>
      <c r="F93" s="32"/>
      <c r="G93" s="4" t="s">
        <v>21</v>
      </c>
      <c r="H93" s="32"/>
      <c r="I93" s="35"/>
      <c r="J93" s="35"/>
      <c r="K93" s="35"/>
      <c r="L93" s="35"/>
      <c r="M93" s="32" t="str">
        <f t="shared" si="2"/>
        <v/>
      </c>
      <c r="N93" s="32"/>
      <c r="O93" s="4" t="str">
        <f ca="1" t="shared" si="3"/>
        <v>未开始</v>
      </c>
      <c r="P93" s="36"/>
    </row>
    <row r="94" spans="1:16">
      <c r="A94" s="32" t="s">
        <v>363</v>
      </c>
      <c r="B94" s="32" t="s">
        <v>400</v>
      </c>
      <c r="C94" s="33" t="s">
        <v>401</v>
      </c>
      <c r="D94" s="5" t="s">
        <v>402</v>
      </c>
      <c r="E94" s="5" t="s">
        <v>403</v>
      </c>
      <c r="F94" s="32"/>
      <c r="G94" s="4" t="s">
        <v>21</v>
      </c>
      <c r="H94" s="32"/>
      <c r="I94" s="35"/>
      <c r="J94" s="35"/>
      <c r="K94" s="35"/>
      <c r="L94" s="35"/>
      <c r="M94" s="32" t="str">
        <f t="shared" si="2"/>
        <v/>
      </c>
      <c r="N94" s="32"/>
      <c r="O94" s="4" t="str">
        <f ca="1" t="shared" si="3"/>
        <v>未开始</v>
      </c>
      <c r="P94" s="36"/>
    </row>
    <row r="95" spans="1:16">
      <c r="A95" s="40" t="s">
        <v>404</v>
      </c>
      <c r="B95" s="41" t="s">
        <v>405</v>
      </c>
      <c r="C95" s="42" t="s">
        <v>406</v>
      </c>
      <c r="D95" s="43" t="s">
        <v>407</v>
      </c>
      <c r="E95" s="43" t="s">
        <v>408</v>
      </c>
      <c r="F95" s="41" t="s">
        <v>409</v>
      </c>
      <c r="G95" s="41" t="s">
        <v>21</v>
      </c>
      <c r="H95" s="40" t="s">
        <v>27</v>
      </c>
      <c r="I95" s="44">
        <v>46237</v>
      </c>
      <c r="J95" s="44">
        <v>46248</v>
      </c>
      <c r="K95" s="44">
        <v>46237</v>
      </c>
      <c r="L95" s="44">
        <v>46252</v>
      </c>
      <c r="M95" s="40">
        <f t="shared" si="2"/>
        <v>4</v>
      </c>
      <c r="N95" s="40">
        <v>100</v>
      </c>
      <c r="O95" s="41" t="str">
        <f ca="1" t="shared" si="3"/>
        <v>已完成</v>
      </c>
      <c r="P95" s="42" t="s">
        <v>410</v>
      </c>
    </row>
  </sheetData>
  <autoFilter xmlns:etc="http://www.wps.cn/officeDocument/2017/etCustomData" ref="A1:P95" etc:filterBottomFollowUsedRange="0">
    <extLst/>
  </autoFilter>
  <conditionalFormatting sqref="C2:C95">
    <cfRule type="expression" dxfId="0" priority="7">
      <formula>$G2="是"</formula>
    </cfRule>
  </conditionalFormatting>
  <conditionalFormatting sqref="M2:M95">
    <cfRule type="cellIs" dxfId="1" priority="2" operator="greaterThan">
      <formula>0</formula>
    </cfRule>
    <cfRule type="cellIs" dxfId="2" priority="3" operator="lessThan">
      <formula>0</formula>
    </cfRule>
  </conditionalFormatting>
  <conditionalFormatting sqref="O2:O95">
    <cfRule type="expression" dxfId="1" priority="4">
      <formula>$O2="已延期"</formula>
    </cfRule>
    <cfRule type="expression" dxfId="2" priority="5">
      <formula>$O2="已完成"</formula>
    </cfRule>
    <cfRule type="expression" dxfId="3" priority="6">
      <formula>$O2="进行中"</formula>
    </cfRule>
  </conditionalFormatting>
  <dataValidations count="2">
    <dataValidation type="list" allowBlank="1" sqref="G2:G95">
      <formula1>"是,否"</formula1>
    </dataValidation>
    <dataValidation type="list" allowBlank="1" sqref="N2:N95">
      <formula1>"0,50,100"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pane ySplit="1" topLeftCell="A3" activePane="bottomLeft" state="frozen"/>
      <selection/>
      <selection pane="bottomLeft" activeCell="K11" sqref="K11"/>
    </sheetView>
  </sheetViews>
  <sheetFormatPr defaultColWidth="8.6796875" defaultRowHeight="16.8" outlineLevelCol="7"/>
  <cols>
    <col min="1" max="1" width="11" customWidth="1"/>
    <col min="2" max="2" width="34" customWidth="1"/>
    <col min="3" max="3" width="12" customWidth="1"/>
    <col min="4" max="4" width="10" customWidth="1"/>
    <col min="5" max="6" width="12" customWidth="1"/>
    <col min="7" max="8" width="10" customWidth="1"/>
  </cols>
  <sheetData>
    <row r="1" spans="1:8">
      <c r="A1" s="15" t="s">
        <v>411</v>
      </c>
      <c r="B1" s="2" t="s">
        <v>412</v>
      </c>
      <c r="C1" s="2" t="s">
        <v>0</v>
      </c>
      <c r="D1" s="2" t="s">
        <v>5</v>
      </c>
      <c r="E1" s="2" t="s">
        <v>9</v>
      </c>
      <c r="F1" s="2" t="s">
        <v>11</v>
      </c>
      <c r="G1" s="2" t="s">
        <v>413</v>
      </c>
      <c r="H1" s="2" t="s">
        <v>14</v>
      </c>
    </row>
    <row r="2" spans="1:8">
      <c r="A2" s="16" t="str">
        <f>WBS主表!B6</f>
        <v>1.1.3</v>
      </c>
      <c r="B2" s="17" t="str">
        <f>WBS主表!C6</f>
        <v>立项评审与审批</v>
      </c>
      <c r="C2" s="16" t="str">
        <f>WBS主表!A6</f>
        <v>1.立项</v>
      </c>
      <c r="D2" s="16" t="str">
        <f>IF(WBS主表!F6="","(待填)",WBS主表!F6)</f>
        <v>(待填)</v>
      </c>
      <c r="E2" s="18" t="str">
        <f>IF(WBS主表!J6="","",WBS主表!J6)</f>
        <v/>
      </c>
      <c r="F2" s="18" t="str">
        <f>IF(WBS主表!L6="","",WBS主表!L6)</f>
        <v/>
      </c>
      <c r="G2" s="16" t="str">
        <f>IFERROR(IF(OR(WBS主表!J6="",WBS主表!L6=""),"",WBS主表!L6-WBS主表!J6),"")</f>
        <v/>
      </c>
      <c r="H2" s="19" t="str">
        <f ca="1">WBS主表!O6</f>
        <v>未开始</v>
      </c>
    </row>
    <row r="3" spans="1:8">
      <c r="A3" s="16" t="str">
        <f>WBS主表!B10</f>
        <v>1.2.3</v>
      </c>
      <c r="B3" s="17" t="str">
        <f>WBS主表!C10</f>
        <v>项目启动会(Kick-off)</v>
      </c>
      <c r="C3" s="16" t="str">
        <f>WBS主表!A10</f>
        <v>1.立项</v>
      </c>
      <c r="D3" s="16" t="str">
        <f>IF(WBS主表!F10="","(待填)",WBS主表!F10)</f>
        <v>(待填)</v>
      </c>
      <c r="E3" s="18" t="str">
        <f>IF(WBS主表!J10="","",WBS主表!J10)</f>
        <v/>
      </c>
      <c r="F3" s="18" t="str">
        <f>IF(WBS主表!L10="","",WBS主表!L10)</f>
        <v/>
      </c>
      <c r="G3" s="16" t="str">
        <f>IFERROR(IF(OR(WBS主表!J10="",WBS主表!L10=""),"",WBS主表!L10-WBS主表!J10),"")</f>
        <v/>
      </c>
      <c r="H3" s="19" t="str">
        <f ca="1">WBS主表!O10</f>
        <v>未开始</v>
      </c>
    </row>
    <row r="4" spans="1:8">
      <c r="A4" s="16" t="str">
        <f>WBS主表!B18</f>
        <v>2.2.3</v>
      </c>
      <c r="B4" s="17" t="str">
        <f>WBS主表!C18</f>
        <v>评标与供应商选定</v>
      </c>
      <c r="C4" s="16" t="str">
        <f>WBS主表!A18</f>
        <v>2.选型</v>
      </c>
      <c r="D4" s="16" t="str">
        <f>IF(WBS主表!F18="","(待填)",WBS主表!F18)</f>
        <v>(待填)</v>
      </c>
      <c r="E4" s="18" t="str">
        <f>IF(WBS主表!J18="","",WBS主表!J18)</f>
        <v/>
      </c>
      <c r="F4" s="18" t="str">
        <f>IF(WBS主表!L18="","",WBS主表!L18)</f>
        <v/>
      </c>
      <c r="G4" s="16" t="str">
        <f>IFERROR(IF(OR(WBS主表!J18="",WBS主表!L18=""),"",WBS主表!L18-WBS主表!J18),"")</f>
        <v/>
      </c>
      <c r="H4" s="19" t="str">
        <f ca="1">WBS主表!O18</f>
        <v>未开始</v>
      </c>
    </row>
    <row r="5" spans="1:8">
      <c r="A5" s="16" t="str">
        <f>WBS主表!B22</f>
        <v>2.3.3</v>
      </c>
      <c r="B5" s="17" t="str">
        <f>WBS主表!C22</f>
        <v>合同签署</v>
      </c>
      <c r="C5" s="16" t="str">
        <f>WBS主表!A22</f>
        <v>2.选型</v>
      </c>
      <c r="D5" s="16" t="str">
        <f>IF(WBS主表!F22="","(待填)",WBS主表!F22)</f>
        <v>(待填)</v>
      </c>
      <c r="E5" s="18" t="str">
        <f>IF(WBS主表!J22="","",WBS主表!J22)</f>
        <v/>
      </c>
      <c r="F5" s="18" t="str">
        <f>IF(WBS主表!L22="","",WBS主表!L22)</f>
        <v/>
      </c>
      <c r="G5" s="16" t="str">
        <f>IFERROR(IF(OR(WBS主表!J22="",WBS主表!L22=""),"",WBS主表!L22-WBS主表!J22),"")</f>
        <v/>
      </c>
      <c r="H5" s="19" t="str">
        <f ca="1">WBS主表!O22</f>
        <v>未开始</v>
      </c>
    </row>
    <row r="6" spans="1:8">
      <c r="A6" s="16" t="str">
        <f>WBS主表!B27</f>
        <v>3.1.3</v>
      </c>
      <c r="B6" s="17" t="str">
        <f>WBS主表!C27</f>
        <v>蓝图确认与签字</v>
      </c>
      <c r="C6" s="16" t="str">
        <f>WBS主表!A27</f>
        <v>3.设计</v>
      </c>
      <c r="D6" s="16" t="str">
        <f>IF(WBS主表!F27="","(待填)",WBS主表!F27)</f>
        <v>(待填)</v>
      </c>
      <c r="E6" s="18" t="str">
        <f>IF(WBS主表!J27="","",WBS主表!J27)</f>
        <v/>
      </c>
      <c r="F6" s="18" t="str">
        <f>IF(WBS主表!L27="","",WBS主表!L27)</f>
        <v/>
      </c>
      <c r="G6" s="16" t="str">
        <f>IFERROR(IF(OR(WBS主表!J27="",WBS主表!L27=""),"",WBS主表!L27-WBS主表!J27),"")</f>
        <v/>
      </c>
      <c r="H6" s="19" t="str">
        <f ca="1">WBS主表!O27</f>
        <v>未开始</v>
      </c>
    </row>
    <row r="7" spans="1:8">
      <c r="A7" s="16" t="str">
        <f>WBS主表!B59</f>
        <v>5.3.3</v>
      </c>
      <c r="B7" s="17" t="str">
        <f>WBS主表!C59</f>
        <v>UAT签字确认</v>
      </c>
      <c r="C7" s="16" t="str">
        <f>WBS主表!A59</f>
        <v>5.测试</v>
      </c>
      <c r="D7" s="16" t="str">
        <f>IF(WBS主表!F59="","(待填)",WBS主表!F59)</f>
        <v>(待填)</v>
      </c>
      <c r="E7" s="18" t="str">
        <f>IF(WBS主表!J59="","",WBS主表!J59)</f>
        <v/>
      </c>
      <c r="F7" s="18" t="str">
        <f>IF(WBS主表!L59="","",WBS主表!L59)</f>
        <v/>
      </c>
      <c r="G7" s="16" t="str">
        <f>IFERROR(IF(OR(WBS主表!J59="",WBS主表!L59=""),"",WBS主表!L59-WBS主表!J59),"")</f>
        <v/>
      </c>
      <c r="H7" s="19" t="str">
        <f ca="1">WBS主表!O59</f>
        <v>未开始</v>
      </c>
    </row>
    <row r="8" spans="1:8">
      <c r="A8" s="16" t="str">
        <f>WBS主表!B73</f>
        <v>6.3.3</v>
      </c>
      <c r="B8" s="17" t="str">
        <f>WBS主表!C73</f>
        <v>系统正式上线(Go-Live)</v>
      </c>
      <c r="C8" s="16" t="str">
        <f>WBS主表!A73</f>
        <v>6.上线</v>
      </c>
      <c r="D8" s="16" t="str">
        <f>IF(WBS主表!F73="","(待填)",WBS主表!F73)</f>
        <v>(待填)</v>
      </c>
      <c r="E8" s="18" t="str">
        <f>IF(WBS主表!J73="","",WBS主表!J73)</f>
        <v/>
      </c>
      <c r="F8" s="18" t="str">
        <f>IF(WBS主表!L73="","",WBS主表!L73)</f>
        <v/>
      </c>
      <c r="G8" s="16" t="str">
        <f>IFERROR(IF(OR(WBS主表!J73="",WBS主表!L73=""),"",WBS主表!L73-WBS主表!J73),"")</f>
        <v/>
      </c>
      <c r="H8" s="19" t="str">
        <f ca="1">WBS主表!O73</f>
        <v>未开始</v>
      </c>
    </row>
    <row r="9" spans="1:8">
      <c r="A9" s="16" t="str">
        <f>WBS主表!B82</f>
        <v>7.3.1</v>
      </c>
      <c r="B9" s="17" t="str">
        <f>WBS主表!C82</f>
        <v>项目终验与验收报告</v>
      </c>
      <c r="C9" s="16" t="str">
        <f>WBS主表!A82</f>
        <v>7.收尾</v>
      </c>
      <c r="D9" s="16" t="str">
        <f>IF(WBS主表!F82="","(待填)",WBS主表!F82)</f>
        <v>(待填)</v>
      </c>
      <c r="E9" s="18" t="str">
        <f>IF(WBS主表!J82="","",WBS主表!J82)</f>
        <v/>
      </c>
      <c r="F9" s="18" t="str">
        <f>IF(WBS主表!L82="","",WBS主表!L82)</f>
        <v/>
      </c>
      <c r="G9" s="16" t="str">
        <f>IFERROR(IF(OR(WBS主表!J82="",WBS主表!L82=""),"",WBS主表!L82-WBS主表!J82),"")</f>
        <v/>
      </c>
      <c r="H9" s="19" t="str">
        <f ca="1">WBS主表!O82</f>
        <v>未开始</v>
      </c>
    </row>
    <row r="10" spans="1:8">
      <c r="A10" s="16" t="str">
        <f>WBS主表!B84</f>
        <v>7.3.3</v>
      </c>
      <c r="B10" s="17" t="str">
        <f>WBS主表!C84</f>
        <v>项目复盘与结项</v>
      </c>
      <c r="C10" s="16" t="str">
        <f>WBS主表!A84</f>
        <v>7.收尾</v>
      </c>
      <c r="D10" s="16" t="str">
        <f>IF(WBS主表!F84="","(待填)",WBS主表!F84)</f>
        <v>(待填)</v>
      </c>
      <c r="E10" s="18" t="str">
        <f>IF(WBS主表!J84="","",WBS主表!J84)</f>
        <v/>
      </c>
      <c r="F10" s="18" t="str">
        <f>IF(WBS主表!L84="","",WBS主表!L84)</f>
        <v/>
      </c>
      <c r="G10" s="16" t="str">
        <f>IFERROR(IF(OR(WBS主表!J84="",WBS主表!L84=""),"",WBS主表!L84-WBS主表!J84),"")</f>
        <v/>
      </c>
      <c r="H10" s="19" t="str">
        <f ca="1">WBS主表!O84</f>
        <v>未开始</v>
      </c>
    </row>
  </sheetData>
  <conditionalFormatting sqref="G2:G10">
    <cfRule type="cellIs" dxfId="4" priority="2" operator="greaterThan">
      <formula>0</formula>
    </cfRule>
  </conditionalFormatting>
  <conditionalFormatting sqref="H2:H10">
    <cfRule type="expression" dxfId="4" priority="3">
      <formula>$H2="已延期"</formula>
    </cfRule>
    <cfRule type="expression" dxfId="5" priority="4">
      <formula>$H2="已完成"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selection activeCell="A3" sqref="A3:A18"/>
    </sheetView>
  </sheetViews>
  <sheetFormatPr defaultColWidth="8.6796875" defaultRowHeight="16.8" outlineLevelCol="3"/>
  <cols>
    <col min="1" max="1" width="20" customWidth="1"/>
    <col min="2" max="3" width="12" customWidth="1"/>
    <col min="4" max="4" width="72" customWidth="1"/>
  </cols>
  <sheetData>
    <row r="1" ht="21.75" customHeight="1" spans="1:4">
      <c r="A1" s="1" t="s">
        <v>414</v>
      </c>
      <c r="B1" s="1"/>
      <c r="C1" s="1"/>
      <c r="D1" s="1"/>
    </row>
    <row r="2" spans="1:4">
      <c r="A2" s="2" t="s">
        <v>415</v>
      </c>
      <c r="B2" s="2" t="s">
        <v>416</v>
      </c>
      <c r="C2" s="2" t="s">
        <v>417</v>
      </c>
      <c r="D2" s="2" t="s">
        <v>418</v>
      </c>
    </row>
    <row r="3" spans="1:4">
      <c r="A3" s="3" t="s">
        <v>0</v>
      </c>
      <c r="B3" s="4" t="s">
        <v>419</v>
      </c>
      <c r="C3" s="4" t="s">
        <v>420</v>
      </c>
      <c r="D3" s="5" t="s">
        <v>421</v>
      </c>
    </row>
    <row r="4" spans="1:4">
      <c r="A4" s="6" t="s">
        <v>422</v>
      </c>
      <c r="B4" s="4" t="s">
        <v>419</v>
      </c>
      <c r="C4" s="4" t="s">
        <v>420</v>
      </c>
      <c r="D4" s="5" t="s">
        <v>423</v>
      </c>
    </row>
    <row r="5" spans="1:4">
      <c r="A5" s="3" t="s">
        <v>424</v>
      </c>
      <c r="B5" s="4" t="s">
        <v>419</v>
      </c>
      <c r="C5" s="4" t="s">
        <v>420</v>
      </c>
      <c r="D5" s="5" t="s">
        <v>425</v>
      </c>
    </row>
    <row r="6" spans="1:4">
      <c r="A6" s="6" t="s">
        <v>426</v>
      </c>
      <c r="B6" s="4" t="s">
        <v>419</v>
      </c>
      <c r="C6" s="4" t="s">
        <v>420</v>
      </c>
      <c r="D6" s="5" t="s">
        <v>427</v>
      </c>
    </row>
    <row r="7" spans="1:4">
      <c r="A7" s="3" t="s">
        <v>428</v>
      </c>
      <c r="B7" s="4" t="s">
        <v>419</v>
      </c>
      <c r="C7" s="4" t="s">
        <v>420</v>
      </c>
      <c r="D7" s="5" t="s">
        <v>429</v>
      </c>
    </row>
    <row r="8" spans="1:4">
      <c r="A8" s="3" t="s">
        <v>5</v>
      </c>
      <c r="B8" s="4" t="s">
        <v>430</v>
      </c>
      <c r="C8" s="4" t="s">
        <v>420</v>
      </c>
      <c r="D8" s="5" t="s">
        <v>431</v>
      </c>
    </row>
    <row r="9" spans="1:4">
      <c r="A9" s="7" t="s">
        <v>6</v>
      </c>
      <c r="B9" s="8" t="s">
        <v>432</v>
      </c>
      <c r="C9" s="8" t="s">
        <v>433</v>
      </c>
      <c r="D9" s="9" t="s">
        <v>434</v>
      </c>
    </row>
    <row r="10" spans="1:4">
      <c r="A10" s="7" t="s">
        <v>435</v>
      </c>
      <c r="B10" s="8" t="s">
        <v>436</v>
      </c>
      <c r="C10" s="8" t="s">
        <v>433</v>
      </c>
      <c r="D10" s="9" t="s">
        <v>437</v>
      </c>
    </row>
    <row r="11" spans="1:4">
      <c r="A11" s="3" t="s">
        <v>438</v>
      </c>
      <c r="B11" s="4" t="s">
        <v>432</v>
      </c>
      <c r="C11" s="4" t="s">
        <v>420</v>
      </c>
      <c r="D11" s="5" t="s">
        <v>439</v>
      </c>
    </row>
    <row r="12" spans="1:4">
      <c r="A12" s="3" t="s">
        <v>440</v>
      </c>
      <c r="B12" s="4" t="s">
        <v>432</v>
      </c>
      <c r="C12" s="4" t="s">
        <v>420</v>
      </c>
      <c r="D12" s="5" t="s">
        <v>441</v>
      </c>
    </row>
    <row r="13" spans="1:4">
      <c r="A13" s="3" t="s">
        <v>442</v>
      </c>
      <c r="B13" s="4" t="s">
        <v>432</v>
      </c>
      <c r="C13" s="4" t="s">
        <v>420</v>
      </c>
      <c r="D13" s="5" t="s">
        <v>443</v>
      </c>
    </row>
    <row r="14" spans="1:4">
      <c r="A14" s="10" t="s">
        <v>444</v>
      </c>
      <c r="B14" s="11" t="s">
        <v>432</v>
      </c>
      <c r="C14" s="11" t="s">
        <v>445</v>
      </c>
      <c r="D14" s="12" t="s">
        <v>446</v>
      </c>
    </row>
    <row r="15" ht="28" spans="1:4">
      <c r="A15" s="7" t="s">
        <v>447</v>
      </c>
      <c r="B15" s="8" t="s">
        <v>432</v>
      </c>
      <c r="C15" s="8" t="s">
        <v>433</v>
      </c>
      <c r="D15" s="9" t="s">
        <v>448</v>
      </c>
    </row>
    <row r="16" spans="1:4">
      <c r="A16" s="10" t="s">
        <v>14</v>
      </c>
      <c r="B16" s="11" t="s">
        <v>432</v>
      </c>
      <c r="C16" s="11" t="s">
        <v>445</v>
      </c>
      <c r="D16" s="12" t="s">
        <v>449</v>
      </c>
    </row>
    <row r="17" spans="1:4">
      <c r="A17" s="7" t="s">
        <v>450</v>
      </c>
      <c r="B17" s="8" t="s">
        <v>432</v>
      </c>
      <c r="C17" s="8" t="s">
        <v>433</v>
      </c>
      <c r="D17" s="9" t="s">
        <v>451</v>
      </c>
    </row>
    <row r="18" spans="1:4">
      <c r="A18" s="3" t="s">
        <v>15</v>
      </c>
      <c r="B18" s="4" t="s">
        <v>452</v>
      </c>
      <c r="C18" s="4" t="s">
        <v>420</v>
      </c>
      <c r="D18" s="5" t="s">
        <v>453</v>
      </c>
    </row>
    <row r="20" spans="1:4">
      <c r="A20" s="13" t="s">
        <v>454</v>
      </c>
      <c r="B20" s="13"/>
      <c r="C20" s="13"/>
      <c r="D20" s="13"/>
    </row>
    <row r="21" ht="30" customHeight="1" spans="1:4">
      <c r="A21" s="14" t="s">
        <v>455</v>
      </c>
      <c r="B21" s="14"/>
      <c r="C21" s="14"/>
      <c r="D21" s="14"/>
    </row>
    <row r="22" ht="30" customHeight="1" spans="1:4">
      <c r="A22" s="14" t="s">
        <v>456</v>
      </c>
      <c r="B22" s="14"/>
      <c r="C22" s="14"/>
      <c r="D22" s="14"/>
    </row>
    <row r="23" ht="30" customHeight="1" spans="1:4">
      <c r="A23" s="14" t="s">
        <v>457</v>
      </c>
      <c r="B23" s="14"/>
      <c r="C23" s="14"/>
      <c r="D23" s="14"/>
    </row>
  </sheetData>
  <mergeCells count="5">
    <mergeCell ref="A1:D1"/>
    <mergeCell ref="A20:D20"/>
    <mergeCell ref="A21:D21"/>
    <mergeCell ref="A22:D22"/>
    <mergeCell ref="A23:D23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WBS主表</vt:lpstr>
      <vt:lpstr>里程碑跟踪</vt:lpstr>
      <vt:lpstr>字段说明与用法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IT老熊</cp:lastModifiedBy>
  <cp:revision>0</cp:revision>
  <dcterms:created xsi:type="dcterms:W3CDTF">2026-07-13T16:46:00Z</dcterms:created>
  <dcterms:modified xsi:type="dcterms:W3CDTF">2026-07-13T16:59:18Z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1BDF4E8B8A815E7EE5A8546A623DD405_42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